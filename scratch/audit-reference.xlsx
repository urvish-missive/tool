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Current Inventory" sheetId="2" r:id="rId6"/>
    <sheet state="visible" name="Redirect Map" sheetId="3" r:id="rId7"/>
    <sheet state="visible" name="Recommended Structure" sheetId="4" r:id="rId8"/>
    <sheet state="visible" name="Pages to Create" sheetId="5" r:id="rId9"/>
  </sheets>
  <definedNames>
    <definedName hidden="1" localSheetId="1" name="_xlnm._FilterDatabase">'Current Inventory'!$A$1:$J$362</definedName>
    <definedName hidden="1" localSheetId="2" name="_xlnm._FilterDatabase">'Redirect Map'!$A$1:$D$101</definedName>
    <definedName hidden="1" localSheetId="3" name="_xlnm._FilterDatabase">'Recommended Structure'!$A$1:$G$137</definedName>
    <definedName hidden="1" localSheetId="4" name="_xlnm._FilterDatabase">'Pages to Create'!$A$1:$D$49</definedName>
  </definedNames>
  <calcPr/>
</workbook>
</file>

<file path=xl/sharedStrings.xml><?xml version="1.0" encoding="utf-8"?>
<sst xmlns="http://schemas.openxmlformats.org/spreadsheetml/2006/main" count="4711" uniqueCount="823">
  <si>
    <t>From URL</t>
  </si>
  <si>
    <t>HoduSoft.com – Website Structure Audit</t>
  </si>
  <si>
    <t>URL</t>
  </si>
  <si>
    <t>To URL (301)</t>
  </si>
  <si>
    <t>Reason</t>
  </si>
  <si>
    <t>Priority</t>
  </si>
  <si>
    <t>Section</t>
  </si>
  <si>
    <t>https://hodusoft.com/sample-page/</t>
  </si>
  <si>
    <t>Content Type</t>
  </si>
  <si>
    <t>Sitemap</t>
  </si>
  <si>
    <t>In Header Nav</t>
  </si>
  <si>
    <t>In Footer</t>
  </si>
  <si>
    <t>Issue</t>
  </si>
  <si>
    <t>Recommended Action</t>
  </si>
  <si>
    <t>Target URL</t>
  </si>
  <si>
    <t>Source: hodusoft.com homepage navigation + 9 Yoast XML sitemaps, crawled 21 Sep 2026. Counts below are live formulas.</t>
  </si>
  <si>
    <t>https://hodusoft.com/</t>
  </si>
  <si>
    <t>WordPress leftover page is live and indexed</t>
  </si>
  <si>
    <t>High</t>
  </si>
  <si>
    <t>https://hodusoft.com/hoducc-call-center-software/</t>
  </si>
  <si>
    <t>Brand-prefixed slug; repeated in footer</t>
  </si>
  <si>
    <t>Low</t>
  </si>
  <si>
    <t>Core</t>
  </si>
  <si>
    <t>https://hodusoft.com/ip-pbx-system/</t>
  </si>
  <si>
    <t>Home</t>
  </si>
  <si>
    <t>https://hodusoft.com/ip-pbx-software/</t>
  </si>
  <si>
    <t>page</t>
  </si>
  <si>
    <t>Footer calls it 'HoduPBX – IP PBX Software' while header uses /ip-pbx-software/</t>
  </si>
  <si>
    <t>Logo</t>
  </si>
  <si>
    <t>CURRENT INVENTORY</t>
  </si>
  <si>
    <t>https://hodusoft.com/hodupbx-multi-tenant-ip-pbx/</t>
  </si>
  <si>
    <t>Keep</t>
  </si>
  <si>
    <t>https://hodusoft.com/multi-tenant-ip-pbx-software/</t>
  </si>
  <si>
    <t>Orphan; duplicates multi-tenant page</t>
  </si>
  <si>
    <t>https://hodusoft.com/freshdesk-hoducc-integration/</t>
  </si>
  <si>
    <t>https://hodusoft.com/integrations/freshdesk/</t>
  </si>
  <si>
    <t>Orphan; no integrations hub</t>
  </si>
  <si>
    <t>Medium</t>
  </si>
  <si>
    <t>https://hodusoft.com/omnichannel-support/</t>
  </si>
  <si>
    <t>https://hodusoft.com/omnichannel-cx-suite/</t>
  </si>
  <si>
    <t>Duplicate of /omnichannel-cx-suite/</t>
  </si>
  <si>
    <t>https://hodusoft.com/real-time-reports-analytics/</t>
  </si>
  <si>
    <t>WordPress default</t>
  </si>
  <si>
    <t>https://hodusoft.com/real-time-analytics-and-reports/</t>
  </si>
  <si>
    <t>Duplicate (3 analytics pages)</t>
  </si>
  <si>
    <t>No</t>
  </si>
  <si>
    <t>https://hodusoft.com/hoducc-sms-integration/</t>
  </si>
  <si>
    <t>https://hodusoft.com/integrations/sms/</t>
  </si>
  <si>
    <t>Orphan</t>
  </si>
  <si>
    <t>Total URLs audited</t>
  </si>
  <si>
    <t>Delete + 410 (or 301 to home)</t>
  </si>
  <si>
    <t>https://hodusoft.com/hoducc-salesforce-integration/</t>
  </si>
  <si>
    <t>https://hodusoft.com/integrations/salesforce/</t>
  </si>
  <si>
    <t>https://hodusoft.com/about-us/</t>
  </si>
  <si>
    <t>Company</t>
  </si>
  <si>
    <t>https://hodusoft.com/single-tenant-multi-tenant/</t>
  </si>
  <si>
    <t>Overlaps multi-tenant page</t>
  </si>
  <si>
    <t>Yes (anchors)</t>
  </si>
  <si>
    <t>Yes</t>
  </si>
  <si>
    <t>https://hodusoft.com/hoducc-zendesk-integration/</t>
  </si>
  <si>
    <t>Vision, Mission, Values are only #anchors</t>
  </si>
  <si>
    <t>https://hodusoft.com/integrations/zendesk/</t>
  </si>
  <si>
    <t>Keep; optionally split out sections</t>
  </si>
  <si>
    <t>https://hodusoft.com/voice-logging/</t>
  </si>
  <si>
    <t>https://hodusoft.com/call-recording-software/</t>
  </si>
  <si>
    <t>Overlaps call recording</t>
  </si>
  <si>
    <t>https://hodusoft.com/awards-recognition/</t>
  </si>
  <si>
    <t>https://hodusoft.com/platform-features/</t>
  </si>
  <si>
    <t>https://hodusoft.com/products/hodupbx/</t>
  </si>
  <si>
    <t>Vague catch-all page</t>
  </si>
  <si>
    <t>https://hodusoft.com/payment-gateway-integration/</t>
  </si>
  <si>
    <t>~20 award blog posts not consolidated here</t>
  </si>
  <si>
    <t>https://hodusoft.com/integrations/payment-gateway/</t>
  </si>
  <si>
    <t>Keep; link all award posts here</t>
  </si>
  <si>
    <t>https://hodusoft.com/real-time-analytics-reports/</t>
  </si>
  <si>
    <t>Duplicate (3 analytics pages) - PBX version</t>
  </si>
  <si>
    <t>https://hodusoft.com/voice-transcription-pbx/</t>
  </si>
  <si>
    <t>https://hodusoft.com/voice-transcription/</t>
  </si>
  <si>
    <t>https://hodusoft.com/insights/</t>
  </si>
  <si>
    <t>Duplicate of /voice-transcription/</t>
  </si>
  <si>
    <t>Resources</t>
  </si>
  <si>
    <t>Hub</t>
  </si>
  <si>
    <t>https://hodusoft.com/hodu-ip-pbx-white-label-features/</t>
  </si>
  <si>
    <t>https://hodusoft.com/white-label-ip-pbx/</t>
  </si>
  <si>
    <t>Orphan; awkward slug</t>
  </si>
  <si>
    <t>https://hodusoft.com/preview-dialer-software-for-call-centers/</t>
  </si>
  <si>
    <t>https://hodusoft.com/preview-dialer-software/</t>
  </si>
  <si>
    <t>Long slug inconsistent with /auto-dialer-software/</t>
  </si>
  <si>
    <t>https://hodusoft.com/progressive-dialer-software-for-call-centers/</t>
  </si>
  <si>
    <t>https://hodusoft.com/progressive-dialer-software/</t>
  </si>
  <si>
    <t>https://hodusoft.com/advanced-dialers/</t>
  </si>
  <si>
    <t>Resources/Newsletter/Events are #anchors, not pages</t>
  </si>
  <si>
    <t>https://hodusoft.com/features/dialers/</t>
  </si>
  <si>
    <t>Acts as a dialers hub but isn't one</t>
  </si>
  <si>
    <t>Rebuild as /resources/ hub</t>
  </si>
  <si>
    <t>https://hodusoft.com/resources/</t>
  </si>
  <si>
    <t>https://hodusoft.com/call-broadcast/</t>
  </si>
  <si>
    <t>https://hodusoft.com/voice-and-sms-broadcasting-software/</t>
  </si>
  <si>
    <t>Blog posts</t>
  </si>
  <si>
    <t>Duplicate of HoduBlast page</t>
  </si>
  <si>
    <t>https://hodusoft.com/contact-us/</t>
  </si>
  <si>
    <t>https://hodusoft.com/predictive-dialer-software-for-call-centers/</t>
  </si>
  <si>
    <t>Conversion</t>
  </si>
  <si>
    <t>https://hodusoft.com/predictive-dialer-software/</t>
  </si>
  <si>
    <t>In sitemap, but menu links /predictive-dialer-software/ (duplicate)</t>
  </si>
  <si>
    <t>Used for Demo, Compare, Explore Features, Get Started CTAs</t>
  </si>
  <si>
    <t>https://hodusoft.com/auto-dialer-software-for-call-centers/</t>
  </si>
  <si>
    <t>Keep; add dedicated /demo/</t>
  </si>
  <si>
    <t>https://hodusoft.com/auto-dialer-software/</t>
  </si>
  <si>
    <t>In sitemap, but menu links /auto-dialer-software/ (duplicate)</t>
  </si>
  <si>
    <t>https://hodusoft.com/partners/</t>
  </si>
  <si>
    <t>https://hodusoft.com/did-management-feature/</t>
  </si>
  <si>
    <t>News mixed into blog</t>
  </si>
  <si>
    <t>Partners</t>
  </si>
  <si>
    <t>https://hodusoft.com/top-3-call-centers-trends-look-forward-2017/</t>
  </si>
  <si>
    <t>Feature pages</t>
  </si>
  <si>
    <t>https://hodusoft.com/call-center-technology-trends/</t>
  </si>
  <si>
    <t>Cannibalizes a similar post on the same keyword</t>
  </si>
  <si>
    <t>Single page for all partner types</t>
  </si>
  <si>
    <t>Keep; add sub-pages (reseller, white-label, referral)</t>
  </si>
  <si>
    <t>https://hodusoft.com/call-center-software-must-predictive-dialer/</t>
  </si>
  <si>
    <t>https://hodusoft.com/predictive-dialer-software-can-outbound-call-centers/</t>
  </si>
  <si>
    <t>https://hodusoft.com/careers/</t>
  </si>
  <si>
    <t>https://hodusoft.com/9-tips-to-improve-first-call-resolution/</t>
  </si>
  <si>
    <t>https://hodusoft.com/what-is-first-call-resolution/</t>
  </si>
  <si>
    <t>Industry pages</t>
  </si>
  <si>
    <t>https://hodusoft.com/5-unique-ways-automatic-call-distribution-helps-call-centers/</t>
  </si>
  <si>
    <t>https://hodusoft.com/what-is-automatic-call-distribution/</t>
  </si>
  <si>
    <t>https://hodusoft.com/terms-of-use/</t>
  </si>
  <si>
    <t>Legal</t>
  </si>
  <si>
    <t>https://hodusoft.com/reliable-voip-reseller-program/</t>
  </si>
  <si>
    <t>Country pages</t>
  </si>
  <si>
    <t>Thin promotional post; competes with /partners/</t>
  </si>
  <si>
    <t>https://hodusoft.com/privacy-policy/</t>
  </si>
  <si>
    <t>https://hodusoft.com/hodusoft-adds-livpure-esteemed-clients-list/</t>
  </si>
  <si>
    <t>Product pages</t>
  </si>
  <si>
    <t>https://hodusoft.com/become-partner-grow-business/</t>
  </si>
  <si>
    <t>https://hodusoft.com/blog/</t>
  </si>
  <si>
    <t>https://hodusoft.com/winner-partner-program/</t>
  </si>
  <si>
    <t>post</t>
  </si>
  <si>
    <t>Posts sit at root, no /blog/ prefix or categories visible</t>
  </si>
  <si>
    <t>Keep; add category hubs</t>
  </si>
  <si>
    <t>https://hodusoft.com/case-studies/</t>
  </si>
  <si>
    <t>https://hodusoft.com/partner-us-ascertain-sales-growth/</t>
  </si>
  <si>
    <t>ISSUES</t>
  </si>
  <si>
    <t>Live/linked pages missing from sitemap</t>
  </si>
  <si>
    <t>https://hodusoft.com/top-multi-tenant-ip-pbx-features-voip-providers-looking-2018/</t>
  </si>
  <si>
    <t>https://hodusoft.com/top-multi-tenant-ip-pbx-features-and-benefits/</t>
  </si>
  <si>
    <t>case_study</t>
  </si>
  <si>
    <t>https://hodusoft.com/hodusofts-clientele-becomes-larger-infinity-transoft-solution/</t>
  </si>
  <si>
    <t>Not in header or footer nav; only 2 case studies</t>
  </si>
  <si>
    <t>Keep; add to nav; publish more</t>
  </si>
  <si>
    <t>https://hodusoft.com/hodusofts-clientele-becomes-larger-turknet-4th-largest-telecom-operator-turkey/</t>
  </si>
  <si>
    <t>Pages not in header navigation (non-blog)</t>
  </si>
  <si>
    <t>https://hodusoft.com/hodusofts-clientele-becomes-larger-unicef-united-nations-childrens-fund/</t>
  </si>
  <si>
    <t>https://hodusoft.com/case-studies/yaxxa-enters-new-territories-by-economizing-operational-costs-with-hoducc/</t>
  </si>
  <si>
    <t>Case study</t>
  </si>
  <si>
    <t>https://hodusoft.com/call-center-trends/</t>
  </si>
  <si>
    <t>Level</t>
  </si>
  <si>
    <t>Linked from homepage only</t>
  </si>
  <si>
    <t>https://hodusoft.com/hodusofts-clientele-becomes-larger-vistaprint/</t>
  </si>
  <si>
    <t>https://hodusoft.com/ip-pbx-software-trends-watch-2019/</t>
  </si>
  <si>
    <t>https://hodusoft.com/ip-pbx-software-statistics-trends/</t>
  </si>
  <si>
    <t>Page</t>
  </si>
  <si>
    <t>https://hodusoft.com/case-studies/unicef-eliminates-manual-processes-to-streamline-monitoring-and-quality-assurance/</t>
  </si>
  <si>
    <t>Recommended URL</t>
  </si>
  <si>
    <t>Current URL (source)</t>
  </si>
  <si>
    <t>Status</t>
  </si>
  <si>
    <t>Notes</t>
  </si>
  <si>
    <t>https://hodusoft.com/call-center-software-trends-watch-2019/</t>
  </si>
  <si>
    <t>https://hodusoft.com/careers/channel-sales-alliance-manager/</t>
  </si>
  <si>
    <t>Job</t>
  </si>
  <si>
    <t>job</t>
  </si>
  <si>
    <t>https://hodusoft.com/hodusofts-clientele-becomes-larger-wapic-insurace-leading-insurance-company-nigeria/</t>
  </si>
  <si>
    <t>Check whether role is still open</t>
  </si>
  <si>
    <t>Keep if open; 301 to /careers/ when closed</t>
  </si>
  <si>
    <t>https://hodusoft.com/3-reasons-call-center-software-integration-must-industry-segments-2019/</t>
  </si>
  <si>
    <t>Outdated year in slug/title</t>
  </si>
  <si>
    <t>https://hodusoft.com/careers/customer-success-manager-csm/</t>
  </si>
  <si>
    <t>https://hodusoft.com/hodusofts-clientele-becomes-larger-shoptomydoor-leading-freight-forwarding-company-nigeria/</t>
  </si>
  <si>
    <t>https://hodusoft.com/travelopod-estemeed-client/</t>
  </si>
  <si>
    <t>Pages flagged with an issue</t>
  </si>
  <si>
    <t>Products</t>
  </si>
  <si>
    <t>Products overview + comparison</t>
  </si>
  <si>
    <t>https://hodusoft.com/clamed-privileged-client/</t>
  </si>
  <si>
    <t>https://hodusoft.com/products/</t>
  </si>
  <si>
    <t>Rebuild</t>
  </si>
  <si>
    <t>Real hub with product cards and comparison table</t>
  </si>
  <si>
    <t>https://hodusoft.com/careers/business-development-executive/</t>
  </si>
  <si>
    <t>https://hodusoft.com/contact-center-software-trends/</t>
  </si>
  <si>
    <t>https://hodusoft.com/contact-center-technology-trends/</t>
  </si>
  <si>
    <t>HoduCC hub</t>
  </si>
  <si>
    <t>https://hodusoft.com/tips-on-satisfying-customers-with-first-contact-resolution/</t>
  </si>
  <si>
    <t>https://hodusoft.com/products/hoducc/</t>
  </si>
  <si>
    <t>New</t>
  </si>
  <si>
    <t>Links to all HoduCC features, industries, case studies</t>
  </si>
  <si>
    <t>https://hodusoft.com/how-you-can-deliver-great-customer-experience-with-smart-automatic-call-distributor/</t>
  </si>
  <si>
    <t>High-priority actions</t>
  </si>
  <si>
    <t>https://hodusoft.com/careers/business-development-executive-fresher/</t>
  </si>
  <si>
    <t>https://hodusoft.com/on-demand-webinar-how-omni-channel-experience-can-enhance-customer-engagement/</t>
  </si>
  <si>
    <t>Contact Center Software</t>
  </si>
  <si>
    <t>https://hodusoft.com/contact-center-software/</t>
  </si>
  <si>
    <t>Dated event/webinar announcement</t>
  </si>
  <si>
    <t>https://hodusoft.com/get-to-know-about-hodupbx-billing-features-join-webinar/</t>
  </si>
  <si>
    <t>Call Center Software</t>
  </si>
  <si>
    <t>https://hodusoft.com/hodupbx-multi-tenant-ip-pbx-software-won-2020-internet-telephony-excellence-award/</t>
  </si>
  <si>
    <t>Press release mixed into blog</t>
  </si>
  <si>
    <t>Medium-priority actions</t>
  </si>
  <si>
    <t>Optional rename to /call-center-software/</t>
  </si>
  <si>
    <t>https://hodusoft.com/what-call-center-kpis-you-need-to-track-to-improve-performance/</t>
  </si>
  <si>
    <t>https://hodusoft.com/top-call-center-metrics-and-kpis-to-every-business-should-track/</t>
  </si>
  <si>
    <t>Omnichannel CX Suite</t>
  </si>
  <si>
    <t>https://hodusoft.com/the-need-and-importance-of-automatic-call-distribution-system-in-call-centers/</t>
  </si>
  <si>
    <t>Product hub</t>
  </si>
  <si>
    <t>product</t>
  </si>
  <si>
    <t>In sitemap but not linked anywhere</t>
  </si>
  <si>
    <t>https://hodusoft.com/houdcc-gartner-digital-markets-may-2021/</t>
  </si>
  <si>
    <t>Absorbs /omnichannel-support/</t>
  </si>
  <si>
    <t>Rebuild as real products overview + comparison</t>
  </si>
  <si>
    <t>URLs to 301 redirect / move</t>
  </si>
  <si>
    <t>HoduPBX hub</t>
  </si>
  <si>
    <t>https://hodusoft.com/work-from-home-software-for-remote-work-challenges/</t>
  </si>
  <si>
    <t>https://hodusoft.com/key-features-of-a-contact-center-with-work-from-home-agents/</t>
  </si>
  <si>
    <t>Product</t>
  </si>
  <si>
    <t>Absorbs /platform-features/</t>
  </si>
  <si>
    <t>https://hodusoft.com/important-auto-dialers/</t>
  </si>
  <si>
    <t>https://hodusoft.com/benefits-of-auto-dialer-software-for-outbound-call-centers/</t>
  </si>
  <si>
    <t>Overlaps /omnichannel-support/</t>
  </si>
  <si>
    <t>Keep (canonical)</t>
  </si>
  <si>
    <t>IP PBX Software</t>
  </si>
  <si>
    <t>https://hodusoft.com/hoducc-named-best-telemarketing-software-by-digital-dot-com/</t>
  </si>
  <si>
    <t>Absorbs /ip-pbx-system/</t>
  </si>
  <si>
    <t>https://hodusoft.com/hodusoft-named-emerging-company-by-indian-achievers-forum/</t>
  </si>
  <si>
    <t>https://hodusoft.com/ultimate-guide-to-omnichannel-contact-center-software/</t>
  </si>
  <si>
    <t>Multi-Tenant IP PBX Software</t>
  </si>
  <si>
    <t>https://hodusoft.com/everything-you-need-to-know-about-omnichannel-contact-center-solutions/</t>
  </si>
  <si>
    <t>RECOMMENDED STRUCTURE</t>
  </si>
  <si>
    <t>Yes (x2)</t>
  </si>
  <si>
    <t>https://hodusoft.com/hoducc-customer-contact-center-technology-awards2021-by-tmc/</t>
  </si>
  <si>
    <t>Repeated in Products + Small Business footer</t>
  </si>
  <si>
    <t>Absorbs /hodupbx-multi-tenant-ip-pbx/, /single-tenant-multi-tenant/</t>
  </si>
  <si>
    <t>Pages in recommended structure</t>
  </si>
  <si>
    <t>https://hodusoft.com/yaxxa/</t>
  </si>
  <si>
    <t>Old post duplicates the /case-studies/ page</t>
  </si>
  <si>
    <t>Hosted IP PBX Software</t>
  </si>
  <si>
    <t>https://hodusoft.com/hosted-ip-pbx-software/</t>
  </si>
  <si>
    <t>https://hodusoft.com/unicef/</t>
  </si>
  <si>
    <t>https://hodusoft.com/gartner-lists-hoducc-predictive-dialer-software-among-emerging-favorites/</t>
  </si>
  <si>
    <t>Keep, or 301 to /call-center-software/</t>
  </si>
  <si>
    <t>Business Phone System</t>
  </si>
  <si>
    <t>https://hodusoft.com/business-phone-system/</t>
  </si>
  <si>
    <t>https://hodusoft.com/hoducc-emerges-among-top-5-in-gartners-getapp-category-leader-board/</t>
  </si>
  <si>
    <t>https://hodusoft.com/hodusoft-partners-with-signalmash-to-bring-innovative-uc-products-to-us-markets/</t>
  </si>
  <si>
    <t>HoduBlast hub</t>
  </si>
  <si>
    <t>https://hodusoft.com/products/hodublast/</t>
  </si>
  <si>
    <t>Kept as-is</t>
  </si>
  <si>
    <t>https://hodusoft.com/hodusoft-in-top-10-auto-dialer-software-by-gartners-getapp/</t>
  </si>
  <si>
    <t>Competes with /ip-pbx-system/ and 4 other PBX pages</t>
  </si>
  <si>
    <t>Keep (canonical IP PBX page)</t>
  </si>
  <si>
    <t>https://hodusoft.com/benefits-of-autodialer-software/</t>
  </si>
  <si>
    <t>Voice &amp; SMS Broadcasting Software</t>
  </si>
  <si>
    <t>https://hodusoft.com/omnichannel-contact-center-a-beginners-guide-to-scale-up/</t>
  </si>
  <si>
    <t>Absorbs /call-broadcast/</t>
  </si>
  <si>
    <t>Yes (x3)</t>
  </si>
  <si>
    <t>https://hodusoft.com/call-center-and-auto-dialer-software-stands-out-as-frontrunner-in-the-gartner-report/</t>
  </si>
  <si>
    <t>Compare Products</t>
  </si>
  <si>
    <t>Merge + 301</t>
  </si>
  <si>
    <t>https://hodusoft.com/compare/</t>
  </si>
  <si>
    <t>https://hodusoft.com/why-call-disposition-must-have-feature-call-center-software/</t>
  </si>
  <si>
    <t>https://hodusoft.com/what-is-call-disposition-key-benefits-and-use-cases/</t>
  </si>
  <si>
    <t>Fixes 'Compare products' CTA that currently goes to /contact-us/</t>
  </si>
  <si>
    <t>https://hodusoft.com/abs-india-collaborates-with-hodusoft/</t>
  </si>
  <si>
    <t>Renamed / moved / rebuilt</t>
  </si>
  <si>
    <t>Features</t>
  </si>
  <si>
    <t>All Features hub</t>
  </si>
  <si>
    <t>https://hodusoft.com/features/</t>
  </si>
  <si>
    <t>https://hodusoft.com/hoducc-gartners-getapp-award-2022/</t>
  </si>
  <si>
    <t>Fixes 'Explore All Features' CTA</t>
  </si>
  <si>
    <t>https://hodusoft.com/hodusoft-partners-with-itwerks-to-serve-the-uc-market-in-singapores-territory-and-global-clients/</t>
  </si>
  <si>
    <t>Features: Dialers</t>
  </si>
  <si>
    <t>Dialers hub</t>
  </si>
  <si>
    <t>https://hodusoft.com/gartners-getapp-ranks-hoducc-1-category-leaders-in-predictive-dialer/</t>
  </si>
  <si>
    <t>Replaces /advanced-dialers/</t>
  </si>
  <si>
    <t>https://hodusoft.com/what-is-call-center-management/</t>
  </si>
  <si>
    <t>https://hodusoft.com/call-center-management-challenges-strategies-tips-and-best-practices/</t>
  </si>
  <si>
    <t>Auto Dialer</t>
  </si>
  <si>
    <t>https://hodusoft.com/how-to-start-call-center-complete-guide/</t>
  </si>
  <si>
    <t>Footer only</t>
  </si>
  <si>
    <t>https://hodusoft.com/a-complete-guide-to-setting-up-a-call-center/</t>
  </si>
  <si>
    <t>Keep; link from HoduPBX hub</t>
  </si>
  <si>
    <t>https://hodusoft.com/hodusoft-ai-chatbot-feature-with-contact-center-software/</t>
  </si>
  <si>
    <t>Predictive Dialer</t>
  </si>
  <si>
    <t>https://hodusoft.com/hodusoft-18th-annual-globee-awards-winner/</t>
  </si>
  <si>
    <t>Overlaps /call-broadcast/</t>
  </si>
  <si>
    <t>https://hodusoft.com/hodusoft-honored-with-getapp-category-leaders-2023-award/</t>
  </si>
  <si>
    <t>Progressive Dialer</t>
  </si>
  <si>
    <t>Keep (canonical HoduBlast page)</t>
  </si>
  <si>
    <t>https://hodusoft.com/hoducc-software-advice-frontrunners-badge-2023/</t>
  </si>
  <si>
    <t>Rename</t>
  </si>
  <si>
    <t>New pages to create</t>
  </si>
  <si>
    <t>https://hodusoft.com/managed-service-providers/</t>
  </si>
  <si>
    <t>Industries</t>
  </si>
  <si>
    <t>https://hodusoft.com/hoducc-capterra-shortlist-call-center-software-2023/</t>
  </si>
  <si>
    <t>Industry (Service Providers)</t>
  </si>
  <si>
    <t>industry</t>
  </si>
  <si>
    <t>Preview Dialer</t>
  </si>
  <si>
    <t>https://hodusoft.com/hoducc-predictive-dialer-earns-gartner-badges/</t>
  </si>
  <si>
    <t>https://hodusoft.com/hodusoft-joins-cca-vendor-cloud-innovation/</t>
  </si>
  <si>
    <t>https://hodusoft.com/e-commerce-contact-center-software/</t>
  </si>
  <si>
    <t>Manual Dialer</t>
  </si>
  <si>
    <t>Industry (Regulated)</t>
  </si>
  <si>
    <t>https://hodusoft.com/manual-dialer/</t>
  </si>
  <si>
    <t>https://hodusoft.com/omnichannel-contact-centre-excellence-award/</t>
  </si>
  <si>
    <t>https://hodusoft.com/hodusoft-cio-insider-top-10-uc-providers-2023/</t>
  </si>
  <si>
    <t>Promotional Dialer</t>
  </si>
  <si>
    <t>https://hodusoft.com/promotional-dialer/</t>
  </si>
  <si>
    <t>https://hodusoft.com/itsp/</t>
  </si>
  <si>
    <t>https://hodusoft.com/omnichannel-excellence-nxtgen-bpo-confex-2023/</t>
  </si>
  <si>
    <t>Answering Machine Detection</t>
  </si>
  <si>
    <t>https://hodusoft.com/hodusoft-digital-cx-summit-2024/</t>
  </si>
  <si>
    <t>https://hodusoft.com/answering-machine-detection/</t>
  </si>
  <si>
    <t>https://hodusoft.com/hodusoft-ready-to-shine-at-it-expo-2024/</t>
  </si>
  <si>
    <t>How to use</t>
  </si>
  <si>
    <t>Features: AI &amp; Automation</t>
  </si>
  <si>
    <t>AI hub</t>
  </si>
  <si>
    <t>https://hodusoft.com/features/ai/</t>
  </si>
  <si>
    <t>https://hodusoft.com/cx-suite-webinar/</t>
  </si>
  <si>
    <t>https://hodusoft.com/hodusoft-participate-enterprise-connect-2024/</t>
  </si>
  <si>
    <t>AI Chatbot</t>
  </si>
  <si>
    <t>https://hodusoft.com/ai-chatbot/</t>
  </si>
  <si>
    <t>Generic one-word slug, weak keyword signal</t>
  </si>
  <si>
    <t>Keep (consider keyword slug)</t>
  </si>
  <si>
    <t>https://hodusoft.com/category-leader-in-2024-getapp/</t>
  </si>
  <si>
    <t>Current Inventory: every URL found, filterable by section, issue, and priority.</t>
  </si>
  <si>
    <t>AI Voice Bot</t>
  </si>
  <si>
    <t>https://hodusoft.com/hoduccs-auto-dialer-wins-accolades-across-leading-platforms/</t>
  </si>
  <si>
    <t>https://hodusoft.com/ai-voice-bot/</t>
  </si>
  <si>
    <t>https://hodusoft.com/real-estate/</t>
  </si>
  <si>
    <t>Topic covered in blog, no product page</t>
  </si>
  <si>
    <t>https://hodusoft.com/hodusoft-introduces-advanced-speech-analytics-for-enhanced-customer-insights/</t>
  </si>
  <si>
    <t>WhatsApp Bot</t>
  </si>
  <si>
    <t>https://hodusoft.com/whatsapp-bot/</t>
  </si>
  <si>
    <t>https://hodusoft.com/ai-powered-contact-centers-webinar/</t>
  </si>
  <si>
    <t>Redirect Map: hand this to your developer to set up 301s (canonical target in column B).</t>
  </si>
  <si>
    <t>https://hodusoft.com/software-advices-frontrunner-2024/</t>
  </si>
  <si>
    <t>https://hodusoft.com/telecom/</t>
  </si>
  <si>
    <t>Speech Analytics</t>
  </si>
  <si>
    <t>https://hodusoft.com/speech-analytics/</t>
  </si>
  <si>
    <t>Recommended Structure: target information architecture; Level column drives indentation.</t>
  </si>
  <si>
    <t>https://hodusoft.com/hodusoft-gears-up-for-it-expo-2025/</t>
  </si>
  <si>
    <t>https://hodusoft.com/convergence-india-expo-2025/</t>
  </si>
  <si>
    <t>AI Sentiment Analysis</t>
  </si>
  <si>
    <t>Pages to Create: new pages with Owner and Status columns for tracking (Status is a dropdown).</t>
  </si>
  <si>
    <t>https://hodusoft.com/ai-sentiment-analysis/</t>
  </si>
  <si>
    <t>Covered in 2 blogs, no product page</t>
  </si>
  <si>
    <t>https://hodusoft.com/software-advices-frontrunner-2025/</t>
  </si>
  <si>
    <t>Caveat: pages were classified from navigation, sitemaps and slugs. Run a full crawl (e.g. Screaming Frog) to catch 404s, redirect chains and thin content before redirecting.</t>
  </si>
  <si>
    <t>https://hodusoft.com/isp/</t>
  </si>
  <si>
    <t>Voice Transcription</t>
  </si>
  <si>
    <t>https://hodusoft.com/hoducc-getapp-leading-contact-center-solution-2025/</t>
  </si>
  <si>
    <t>Absorbs /voice-transcription-pbx/</t>
  </si>
  <si>
    <t>https://hodusoft.com/insurance-contact-center-software/</t>
  </si>
  <si>
    <t>Text to Speech</t>
  </si>
  <si>
    <t>https://hodusoft.com/text-to-speech/</t>
  </si>
  <si>
    <t>Features: Routing &amp; IVR</t>
  </si>
  <si>
    <t>Routing &amp; IVR hub</t>
  </si>
  <si>
    <t>https://hodusoft.com/features/routing-and-ivr/</t>
  </si>
  <si>
    <t>https://hodusoft.com/bpo-contact-center-software/</t>
  </si>
  <si>
    <t>Automatic Call Distribution</t>
  </si>
  <si>
    <t>https://hodusoft.com/automatic-call-distribution/</t>
  </si>
  <si>
    <t>https://hodusoft.com/banking-and-finance-contact-center-software/</t>
  </si>
  <si>
    <t>Skill-Based Routing</t>
  </si>
  <si>
    <t>https://hodusoft.com/skill-based-routing/</t>
  </si>
  <si>
    <t>Multilevel IVR</t>
  </si>
  <si>
    <t>https://hodusoft.com/multilevel-ivr/</t>
  </si>
  <si>
    <t>https://hodusoft.com/call-center-software-for-healthcare/</t>
  </si>
  <si>
    <t>Queue Pro</t>
  </si>
  <si>
    <t>https://hodusoft.com/queue-pro/</t>
  </si>
  <si>
    <t>https://hodusoft.com/enterprise-call-center-software/</t>
  </si>
  <si>
    <t>Industry (Enterprise)</t>
  </si>
  <si>
    <t>MISSING</t>
  </si>
  <si>
    <t>Least Cost Routing</t>
  </si>
  <si>
    <t>https://hodusoft.com/least-cost-routing/</t>
  </si>
  <si>
    <t>Linked in header but missing from XML sitemap</t>
  </si>
  <si>
    <t>Add to sitemap</t>
  </si>
  <si>
    <t>https://hodusoft.com/enterprise-contact-center-software-solutions/</t>
  </si>
  <si>
    <t>Features: Channels</t>
  </si>
  <si>
    <t>Channels hub</t>
  </si>
  <si>
    <t>https://hodusoft.com/features/channels/</t>
  </si>
  <si>
    <t>WhatsApp Calling</t>
  </si>
  <si>
    <t>https://hodusoft.com/enterprise-ip-pbx-software/</t>
  </si>
  <si>
    <t>https://hodusoft.com/whatsapp-calling/</t>
  </si>
  <si>
    <t>WhatsApp Broadcasting</t>
  </si>
  <si>
    <t>https://hodusoft.com/whatsapp-broadcasting/</t>
  </si>
  <si>
    <t>Feature</t>
  </si>
  <si>
    <t>feature</t>
  </si>
  <si>
    <t>SMS Broadcasting</t>
  </si>
  <si>
    <t>https://hodusoft.com/sms-broadcasting/</t>
  </si>
  <si>
    <t>Orphan (no nav link)</t>
  </si>
  <si>
    <t>Keep; link from Dialers hub</t>
  </si>
  <si>
    <t>Features: Analytics &amp; QA</t>
  </si>
  <si>
    <t>Analytics &amp; QA hub</t>
  </si>
  <si>
    <t>https://hodusoft.com/features/analytics-and-qa/</t>
  </si>
  <si>
    <t>Keep; link from Routing hub</t>
  </si>
  <si>
    <t>Real-Time Analytics &amp; Reports</t>
  </si>
  <si>
    <t>Absorbs 2 duplicates</t>
  </si>
  <si>
    <t>Keep; add to nav</t>
  </si>
  <si>
    <t>Call Recording</t>
  </si>
  <si>
    <t>Features: Integrations</t>
  </si>
  <si>
    <t>Absorbs /voice-logging/</t>
  </si>
  <si>
    <t>Quality Analysis</t>
  </si>
  <si>
    <t>Keep; move under /integrations/</t>
  </si>
  <si>
    <t>https://hodusoft.com/quality-analysis/</t>
  </si>
  <si>
    <t>https://hodusoft.com/hoducc-work-from-home/</t>
  </si>
  <si>
    <t>IVR &amp; Agent Survey</t>
  </si>
  <si>
    <t>Features: Operations</t>
  </si>
  <si>
    <t>https://hodusoft.com/ivr-agent-survey/</t>
  </si>
  <si>
    <t>Keep; link from Use Cases</t>
  </si>
  <si>
    <t>Operations hub</t>
  </si>
  <si>
    <t>https://hodusoft.com/features/operations/</t>
  </si>
  <si>
    <t>Built-in CRM</t>
  </si>
  <si>
    <t>https://hodusoft.com/built-in-crm/</t>
  </si>
  <si>
    <t>Fix menu label</t>
  </si>
  <si>
    <t>https://hodusoft.com/inbuilt-ticketing-system/</t>
  </si>
  <si>
    <t>Ticketing System</t>
  </si>
  <si>
    <t>Single Sign-On</t>
  </si>
  <si>
    <t>https://hodusoft.com/single-sign-on-sso/</t>
  </si>
  <si>
    <t>Features: PBX &amp; Provider Tools</t>
  </si>
  <si>
    <t>PBX Provider Tools hub</t>
  </si>
  <si>
    <t>https://hodusoft.com/features/pbx-provider-tools/</t>
  </si>
  <si>
    <t>Auto Provisioning</t>
  </si>
  <si>
    <t>https://hodusoft.com/auto-provisioning/</t>
  </si>
  <si>
    <t>Billing System</t>
  </si>
  <si>
    <t>https://hodusoft.com/prepaid-and-postpaid-billing/</t>
  </si>
  <si>
    <t>SIP Trunking</t>
  </si>
  <si>
    <t>https://hodusoft.com/hodupbx-sip-trunking/</t>
  </si>
  <si>
    <t>Keep; link from Analytics hub</t>
  </si>
  <si>
    <t>Reseller Modules</t>
  </si>
  <si>
    <t>https://hodusoft.com/reseller-modules/</t>
  </si>
  <si>
    <t>White-Label IP PBX</t>
  </si>
  <si>
    <t>BLF Presence</t>
  </si>
  <si>
    <t>https://hodusoft.com/blf-presence/</t>
  </si>
  <si>
    <t>No (homepage)</t>
  </si>
  <si>
    <t>Audio Conference</t>
  </si>
  <si>
    <t>https://hodusoft.com/audio-conference/</t>
  </si>
  <si>
    <t>Canonical candidate among 3 duplicates</t>
  </si>
  <si>
    <t>WebPhone</t>
  </si>
  <si>
    <t>https://hodusoft.com/hodupbx-webphone-module/</t>
  </si>
  <si>
    <t>Use Cases</t>
  </si>
  <si>
    <t>Use Cases hub</t>
  </si>
  <si>
    <t>https://hodusoft.com/use-cases/</t>
  </si>
  <si>
    <t>Inbound Call Center</t>
  </si>
  <si>
    <t>https://hodusoft.com/inbound-call-center-software/</t>
  </si>
  <si>
    <t>Move from Dialers menu</t>
  </si>
  <si>
    <t>Outbound Call Center</t>
  </si>
  <si>
    <t>https://hodusoft.com/outbound-call-center-software/</t>
  </si>
  <si>
    <t>Currently orphaned</t>
  </si>
  <si>
    <t>Remote / Work-from-Home Contact Center</t>
  </si>
  <si>
    <t>Integrations</t>
  </si>
  <si>
    <t>Integrations hub</t>
  </si>
  <si>
    <t>https://hodusoft.com/integrations/</t>
  </si>
  <si>
    <t>Dialer page already claims Salesforce, Zoho, HubSpot, Dynamics</t>
  </si>
  <si>
    <t>Salesforce</t>
  </si>
  <si>
    <t>Move</t>
  </si>
  <si>
    <t>Zendesk</t>
  </si>
  <si>
    <t>Features: PBX Provider Tools</t>
  </si>
  <si>
    <t>Freshdesk</t>
  </si>
  <si>
    <t>Not in nav</t>
  </si>
  <si>
    <t>Zoho (HoduCC + HoduPBX)</t>
  </si>
  <si>
    <t>https://hodusoft.com/integrations/zoho/</t>
  </si>
  <si>
    <t>https://hodusoft.com/hoducc-zoho-integration/</t>
  </si>
  <si>
    <t>Merge /hodupbx-zoho-integration/ as PBX section</t>
  </si>
  <si>
    <t>Features: AI</t>
  </si>
  <si>
    <t>HubSpot</t>
  </si>
  <si>
    <t>https://hodusoft.com/integrations/hubspot/</t>
  </si>
  <si>
    <t>Microsoft Dynamics 365</t>
  </si>
  <si>
    <t>https://hodusoft.com/integrations/dynamics-365/</t>
  </si>
  <si>
    <t>SMS / MMS</t>
  </si>
  <si>
    <t>Keep; link from AI hub</t>
  </si>
  <si>
    <t>Also absorb /hodupbx-sms-and-mms-integration/ or keep separate</t>
  </si>
  <si>
    <t>Payment Gateway</t>
  </si>
  <si>
    <t>API / Developers</t>
  </si>
  <si>
    <t>Duplicate of /voice-transcription-pbx/</t>
  </si>
  <si>
    <t>https://hodusoft.com/api/</t>
  </si>
  <si>
    <t>Keep (canonical); merge PBX version</t>
  </si>
  <si>
    <t>Industries hub</t>
  </si>
  <si>
    <t>https://hodusoft.com/industries/</t>
  </si>
  <si>
    <t>Managed Service Providers</t>
  </si>
  <si>
    <t>E Commerce Contact Center Software</t>
  </si>
  <si>
    <t>Itsp</t>
  </si>
  <si>
    <t>Real Estate</t>
  </si>
  <si>
    <t>Telecom</t>
  </si>
  <si>
    <t>Isp</t>
  </si>
  <si>
    <t>Insurance Contact Center Software</t>
  </si>
  <si>
    <t>Orphan, yet a strong 2025-26 topic</t>
  </si>
  <si>
    <t>Bpo Contact Center Software</t>
  </si>
  <si>
    <t>Banking And Finance Contact Center Software</t>
  </si>
  <si>
    <t>Merge into /call-recording-software/ or differentiate</t>
  </si>
  <si>
    <t>Call Center Software For Healthcare</t>
  </si>
  <si>
    <t>Features: PBX Features</t>
  </si>
  <si>
    <t>Enterprise Call Center Software</t>
  </si>
  <si>
    <t>Enterprise Contact Center Software Solutions</t>
  </si>
  <si>
    <t>Enterprise Ip Pbx Software</t>
  </si>
  <si>
    <t>Online Betting &amp; Gaming</t>
  </si>
  <si>
    <t>https://hodusoft.com/online-betting-contact-center-software/</t>
  </si>
  <si>
    <t>6+ betting blogs exist with no landing page</t>
  </si>
  <si>
    <t>Travel &amp; Hospitality</t>
  </si>
  <si>
    <t>Features: Products</t>
  </si>
  <si>
    <t>https://hodusoft.com/travel-hospitality-contact-center-software/</t>
  </si>
  <si>
    <t>Orphan product-level page</t>
  </si>
  <si>
    <t>Multiple legacy blogs target this vertical</t>
  </si>
  <si>
    <t>Locations</t>
  </si>
  <si>
    <t>Locations hub</t>
  </si>
  <si>
    <t>https://hodusoft.com/locations/</t>
  </si>
  <si>
    <t>USA IP PBX</t>
  </si>
  <si>
    <t>https://hodusoft.com/usa-multi-tenant-ip-pbx-system/</t>
  </si>
  <si>
    <t>Merge into /products/hodupbx/ features section</t>
  </si>
  <si>
    <t>Canada IP PBX</t>
  </si>
  <si>
    <t>https://hodusoft.com/canada-multi-tenant-ip-pbx-system/</t>
  </si>
  <si>
    <t>UK IP PBX</t>
  </si>
  <si>
    <t>https://hodusoft.com/uk-multi-tenant-ip-pbx-system/</t>
  </si>
  <si>
    <t>Italy IP PBX</t>
  </si>
  <si>
    <t>https://hodusoft.com/italy-multi-tenant-ip-pbx-system/</t>
  </si>
  <si>
    <t>Netherlands IP PBX</t>
  </si>
  <si>
    <t>https://hodusoft.com/netherlands-multi-tenant-ip-pbx-system/</t>
  </si>
  <si>
    <t>Belgium IP PBX</t>
  </si>
  <si>
    <t>https://hodusoft.com/belgium-multi-tenant-ip-pbx-system/</t>
  </si>
  <si>
    <t>Turkey IP PBX</t>
  </si>
  <si>
    <t>https://hodusoft.com/turkey-multi-tenant-ip-pbx-system/</t>
  </si>
  <si>
    <t>USA Contact Center</t>
  </si>
  <si>
    <t>https://hodusoft.com/usa-contact-center-software/</t>
  </si>
  <si>
    <t>Canada Contact Center</t>
  </si>
  <si>
    <t>https://hodusoft.com/canada-contact-center-software/</t>
  </si>
  <si>
    <t>UK Contact Center</t>
  </si>
  <si>
    <t>https://hodusoft.com/uk-contact-center-software/</t>
  </si>
  <si>
    <t>Italy Contact Center</t>
  </si>
  <si>
    <t>https://hodusoft.com/italy-contact-center-software/</t>
  </si>
  <si>
    <t>Netherlands Contact Center</t>
  </si>
  <si>
    <t>https://hodusoft.com/netherlands-contact-center-software/</t>
  </si>
  <si>
    <t>Fill country gap</t>
  </si>
  <si>
    <t>Belgium Contact Center</t>
  </si>
  <si>
    <t>https://hodusoft.com/belgium-contact-center-software/</t>
  </si>
  <si>
    <t>Orphan; unclear name</t>
  </si>
  <si>
    <t>Why</t>
  </si>
  <si>
    <t>Turkey Contact Center</t>
  </si>
  <si>
    <t>https://hodusoft.com/turkey-contact-center-software/</t>
  </si>
  <si>
    <t>Owner</t>
  </si>
  <si>
    <t>India Contact Center</t>
  </si>
  <si>
    <t>https://hodusoft.com/india-contact-center-software/</t>
  </si>
  <si>
    <t>India IP PBX</t>
  </si>
  <si>
    <t>https://hodusoft.com/india-ip-pbx-software/</t>
  </si>
  <si>
    <t>Orphan; should support partner program</t>
  </si>
  <si>
    <t>HQ country has no page</t>
  </si>
  <si>
    <t>Keep; link from /partners/</t>
  </si>
  <si>
    <t>Pricing</t>
  </si>
  <si>
    <t>https://hodusoft.com/pricing/</t>
  </si>
  <si>
    <t>Or 'Request pricing' with plan tiers</t>
  </si>
  <si>
    <t>Book a Demo</t>
  </si>
  <si>
    <t>https://hodusoft.com/demo/</t>
  </si>
  <si>
    <t>Dedicated demo page; stop routing every CTA to /contact-us/</t>
  </si>
  <si>
    <t>Trust</t>
  </si>
  <si>
    <t>Security &amp; Compliance</t>
  </si>
  <si>
    <t>https://hodusoft.com/security/</t>
  </si>
  <si>
    <t>ISO 27001/9001, HIPAA, STIR/SHAKEN, encryption, SSO</t>
  </si>
  <si>
    <t>Resources hub</t>
  </si>
  <si>
    <t>Replaces /insights/ anchor page</t>
  </si>
  <si>
    <t>Blog</t>
  </si>
  <si>
    <t>https://hodusoft.com/hodupbx-sms-and-mms-integration/</t>
  </si>
  <si>
    <t>Add category hubs</t>
  </si>
  <si>
    <t>Blog category: contact-center</t>
  </si>
  <si>
    <t>https://hodusoft.com/blog/category/contact-center/</t>
  </si>
  <si>
    <t>Blog category: ip-pbx</t>
  </si>
  <si>
    <t>Keep; link from /integrations/</t>
  </si>
  <si>
    <t>https://hodusoft.com/blog/category/ip-pbx/</t>
  </si>
  <si>
    <t>Blog category: dialers</t>
  </si>
  <si>
    <t>https://hodusoft.com/blog/category/dialers/</t>
  </si>
  <si>
    <t>Not started</t>
  </si>
  <si>
    <t>Blog category: ai</t>
  </si>
  <si>
    <t>https://hodusoft.com/blog/category/ai/</t>
  </si>
  <si>
    <t>Merge + 301 (or keep as PBX-specific with distinct content)</t>
  </si>
  <si>
    <t>Blog category: industries</t>
  </si>
  <si>
    <t>https://hodusoft.com/blog/category/industries/</t>
  </si>
  <si>
    <t>Blog category: guides</t>
  </si>
  <si>
    <t>https://hodusoft.com/blog/category/guides/</t>
  </si>
  <si>
    <t>Case Studies</t>
  </si>
  <si>
    <t>Add to nav; publish more</t>
  </si>
  <si>
    <t>Guides &amp; eBooks</t>
  </si>
  <si>
    <t>https://hodusoft.com/resources/guides/</t>
  </si>
  <si>
    <t>Host corporate deck, brochures</t>
  </si>
  <si>
    <t>301 to cleaner slug</t>
  </si>
  <si>
    <t>Webinars</t>
  </si>
  <si>
    <t>https://hodusoft.com/resources/webinars/</t>
  </si>
  <si>
    <t>https://hodusoft.com/hodupbx-zoho-integration/</t>
  </si>
  <si>
    <t>Move webinar posts here</t>
  </si>
  <si>
    <t>Glossary</t>
  </si>
  <si>
    <t>https://hodusoft.com/glossary/</t>
  </si>
  <si>
    <t>Two Zoho pages, no hub</t>
  </si>
  <si>
    <t>Keep; move under /integrations/zoho/ (PBX section)</t>
  </si>
  <si>
    <t>Group what-is-* and terminology posts</t>
  </si>
  <si>
    <t>Alternatives / Comparisons</t>
  </si>
  <si>
    <t>https://hodusoft.com/alternatives/</t>
  </si>
  <si>
    <t>Start with /ameyo-alternatives/</t>
  </si>
  <si>
    <t>Yes (as 'CRM Integration')</t>
  </si>
  <si>
    <t>Menu label 'CRM Integration' doesn't match built-in CRM page</t>
  </si>
  <si>
    <t>Newsletter</t>
  </si>
  <si>
    <t>Keep; fix menu label</t>
  </si>
  <si>
    <t>https://hodusoft.com/newsletter/</t>
  </si>
  <si>
    <t>Currently a #anchor</t>
  </si>
  <si>
    <t>Features: Use Cases</t>
  </si>
  <si>
    <t>About Us</t>
  </si>
  <si>
    <t>Orphan, but a high-intent keyword</t>
  </si>
  <si>
    <t>Keep; add to nav (Use Cases)</t>
  </si>
  <si>
    <t>Awards &amp; Recognition</t>
  </si>
  <si>
    <t>Consolidate award posts</t>
  </si>
  <si>
    <t>Newsroom</t>
  </si>
  <si>
    <t>https://hodusoft.com/newsroom/</t>
  </si>
  <si>
    <t>Press, client wins, partnerships</t>
  </si>
  <si>
    <t>Events</t>
  </si>
  <si>
    <t>https://hodusoft.com/events/</t>
  </si>
  <si>
    <t>Careers</t>
  </si>
  <si>
    <t>Optional 301 to shorter slug</t>
  </si>
  <si>
    <t>Contact Us</t>
  </si>
  <si>
    <t>Reseller Program</t>
  </si>
  <si>
    <t>https://hodusoft.com/partners/reseller/</t>
  </si>
  <si>
    <t>White-Label Program</t>
  </si>
  <si>
    <t>Convert to /features/dialers/ hub + 301</t>
  </si>
  <si>
    <t>https://hodusoft.com/partners/white-label/</t>
  </si>
  <si>
    <t>Referral Program</t>
  </si>
  <si>
    <t>https://hodusoft.com/partners/referral/</t>
  </si>
  <si>
    <t>Terms of Use</t>
  </si>
  <si>
    <t>Privacy Policy</t>
  </si>
  <si>
    <t>Cookie Policy</t>
  </si>
  <si>
    <t>https://hodusoft.com/cookie-policy/</t>
  </si>
  <si>
    <t>Keep; link from /security/</t>
  </si>
  <si>
    <t>Yes (under Dialers)</t>
  </si>
  <si>
    <t>Listed under Dialers; it is a use case</t>
  </si>
  <si>
    <t>Keep; move to Use Cases menu</t>
  </si>
  <si>
    <t>Keep; move under /integrations/zoho/</t>
  </si>
  <si>
    <t>Canonical multi-tenant page</t>
  </si>
  <si>
    <t>Keep (canonical); add to nav</t>
  </si>
  <si>
    <t>Live + linked in menu but missing from sitemap; duplicate exists</t>
  </si>
  <si>
    <t>Keep (canonical); add to sitemap</t>
  </si>
  <si>
    <t>Linked in menu but missing from sitemap; duplicate exists</t>
  </si>
  <si>
    <t>Countries</t>
  </si>
  <si>
    <t>Country (IP PBX)</t>
  </si>
  <si>
    <t>country</t>
  </si>
  <si>
    <t>Footer only; no locations hub</t>
  </si>
  <si>
    <t>Keep; add /locations/ hub</t>
  </si>
  <si>
    <t>Country (Contact Center)</t>
  </si>
  <si>
    <t>Company / Client news</t>
  </si>
  <si>
    <t>Move to /company/newsroom/ (or noindex if thin)</t>
  </si>
  <si>
    <t>Educational</t>
  </si>
  <si>
    <t>Merge content + 301</t>
  </si>
  <si>
    <t>https://hodusoft.com/different-industry-verticals-benefited-implementing-customer-support-business-model/</t>
  </si>
  <si>
    <t>Keep; add internal link to matching feature/industry page</t>
  </si>
  <si>
    <t>Partner promo</t>
  </si>
  <si>
    <t>301</t>
  </si>
  <si>
    <t>https://hodusoft.com/amazing-flexibility-ip-pbx-systems-auto-dealerships/</t>
  </si>
  <si>
    <t>https://hodusoft.com/7-key-terms-that-drive-great-customer-experiences/</t>
  </si>
  <si>
    <t>https://hodusoft.com/want-make-business-efficient-switch-voip-solutions/</t>
  </si>
  <si>
    <t>https://hodusoft.com/five-mind-boggling-ideas-offering-rich-call-center-experience/</t>
  </si>
  <si>
    <t>https://hodusoft.com/choose-best-call-center-software-business/</t>
  </si>
  <si>
    <t>https://hodusoft.com/omnichannel-contact-center-software-healthcare-industries-improves-customer-satisfaction-revenues/</t>
  </si>
  <si>
    <t>https://hodusoft.com/ip-pbx-software-monthly-rental-boon-enterprises-worldwide/</t>
  </si>
  <si>
    <t>https://hodusoft.com/omnichannel-contact-center-software-helps-grow-business-monthly-subscription-basis/</t>
  </si>
  <si>
    <t>https://hodusoft.com/broadcasting-software-help-broadcast-message-political-campaign/</t>
  </si>
  <si>
    <t>https://hodusoft.com/now-ip-pbx-software-that-even-small-enterprises-can-use-to-improve-business-communications/</t>
  </si>
  <si>
    <t>https://hodusoft.com/advantages-of-omnichannel-contact-center-software-in-ecommerce-industry/</t>
  </si>
  <si>
    <t>https://hodusoft.com/contact-center-software-transportation-industry/</t>
  </si>
  <si>
    <t>https://hodusoft.com/social-media-channels-contact-center-software-help-enhanced-customer-experience/</t>
  </si>
  <si>
    <t>Refresh or 301 to newer equivalent</t>
  </si>
  <si>
    <t>https://hodusoft.com/voice-broadcast-software-help-reach-larger-audience-speedily-lower-costs/</t>
  </si>
  <si>
    <t>https://hodusoft.com/now-access-whatsapp-along-contact-center-software/</t>
  </si>
  <si>
    <t>https://hodusoft.com/omnichannel-contact-center-software-business-must-interactive-communication-tool/</t>
  </si>
  <si>
    <t>https://hodusoft.com/omnichannel-contact-center-software-travel-industry-simply-cannot-without/</t>
  </si>
  <si>
    <t>https://hodusoft.com/full-featured-ip-pbx-software-hospitality-industry-improves-collaboration-guest-satisfaction/</t>
  </si>
  <si>
    <t>https://hodusoft.com/smart-use-auto-dialer-software-improved-productivity/</t>
  </si>
  <si>
    <t>https://hodusoft.com/top-10-call-center-software/</t>
  </si>
  <si>
    <t>https://hodusoft.com/tech-trends-for-small-enterprise-growth/</t>
  </si>
  <si>
    <t>https://hodusoft.com/role-of-voice-broadcasting-software-in-schools/</t>
  </si>
  <si>
    <t>https://hodusoft.com/install-your-own-ip-pbx-and-transform-your-enterprise-operations/</t>
  </si>
  <si>
    <t>Event / Webinar</t>
  </si>
  <si>
    <t>Move to /resources/webinars/ or /company/events/, else noindex</t>
  </si>
  <si>
    <t>https://hodusoft.com/why-your-outbound-call-center-will-find-intelligent-auto-dialer-software-invaluable-for-campaigns/</t>
  </si>
  <si>
    <t>https://hodusoft.com/the-numerous-benefits-of-using-voice-broadcasting-software-for-business-governments-healthcare/</t>
  </si>
  <si>
    <t>https://hodusoft.com/hoducc-zoho-phonebridge-integration-improves-productivity-for-contact-centers/</t>
  </si>
  <si>
    <t>https://hodusoft.com/importance-of-real-time-reports-analytics-in-transforming-contact-centers/</t>
  </si>
  <si>
    <t>https://hodusoft.com/how-voice-broadcasting-software-can-help-you-send-personalized-voice-messages-on-holiday-season/</t>
  </si>
  <si>
    <t>Award PR</t>
  </si>
  <si>
    <t>Move to /company/newsroom/; link from /awards-recognition/</t>
  </si>
  <si>
    <t>https://hodusoft.com/best-practices-to-adopt-for-a-successful-outbound-call-center/</t>
  </si>
  <si>
    <t>https://hodusoft.com/whatsapp-business-a-reliable-way-for-businesses-to-reach-their-customers/</t>
  </si>
  <si>
    <t>https://hodusoft.com/all-you-need-to-know-about-salesforce-integration-with-contact-center-software/</t>
  </si>
  <si>
    <t>https://hodusoft.com/how-helpful-contact-center-software-is-for-the-healthcare-sector-in-the-time-of-covid-19-pandemic/</t>
  </si>
  <si>
    <t>https://hodusoft.com/the-advantages-of-having-a-call-center-software-for-financial-services/</t>
  </si>
  <si>
    <t>https://hodusoft.com/6-features-to-look-in-multi-tenant-ip-pbx-software-before-you-buy/</t>
  </si>
  <si>
    <t>https://hodusoft.com/call-center-and-contact-center-software-difference-guide/</t>
  </si>
  <si>
    <t>https://hodusoft.com/ecommerce-players-need-social-media-contact-center-software/</t>
  </si>
  <si>
    <t>https://hodusoft.com/10-tips-improve-productivity-of-call-center-agents/</t>
  </si>
  <si>
    <t>https://hodusoft.com/why-should-you-move-from-legacy-pbx-to-modern-contact-center-software/</t>
  </si>
  <si>
    <t>https://hodusoft.com/everything-you-need-to-know-about-an-outbound-call-center/</t>
  </si>
  <si>
    <t>https://hodusoft.com/top-call-center-features-you-need-to-know/</t>
  </si>
  <si>
    <t>Duplicate case study</t>
  </si>
  <si>
    <t>301 to case study</t>
  </si>
  <si>
    <t>https://hodusoft.com/10-voip-business-phone-features/</t>
  </si>
  <si>
    <t>https://hodusoft.com/how-to-choose-best-call-center-software-for-small-business/</t>
  </si>
  <si>
    <t>https://hodusoft.com/top-5-customer-experience-trends/</t>
  </si>
  <si>
    <t>https://hodusoft.com/what-is-pbx-phone-system-and-how-does-it-work-for-hotels/</t>
  </si>
  <si>
    <t>https://hodusoft.com/top-reasons-cloud-based-is-better-than-on-premise-for-contact-centers/</t>
  </si>
  <si>
    <t>https://hodusoft.com/leverage-auto-dialer-software-to-boost-call-connect-rate/</t>
  </si>
  <si>
    <t>https://hodusoft.com/a-complete-guide-to-pbx-system/</t>
  </si>
  <si>
    <t>https://hodusoft.com/advantages-of-a-business-telephone-system-for-small-business/</t>
  </si>
  <si>
    <t>https://hodusoft.com/call-routing-strategies-to-improve-customer-experience/</t>
  </si>
  <si>
    <t>https://hodusoft.com/what-is-pstn/</t>
  </si>
  <si>
    <t>https://hodusoft.com/how-can-insurance-companies-improve-customer-service/</t>
  </si>
  <si>
    <t>https://hodusoft.com/how-to-handle-escalated-calls-in-call-center/</t>
  </si>
  <si>
    <t>https://hodusoft.com/boost-business-revenue-with-an-omnichannel-contact-center-software/</t>
  </si>
  <si>
    <t>https://hodusoft.com/ucaas-vs-ccaas-vs-cpaas/</t>
  </si>
  <si>
    <t>https://hodusoft.com/how-omnichannel-analytics-in-contact-center-can-improve-your-cx/</t>
  </si>
  <si>
    <t>https://hodusoft.com/what-is-call-routing/</t>
  </si>
  <si>
    <t>https://hodusoft.com/hosted-pbx-vs-sip-trunking-7-key-differences/</t>
  </si>
  <si>
    <t>https://hodusoft.com/top-ip-pbx-software-and-service-providers-in-the-uk/</t>
  </si>
  <si>
    <t>https://hodusoft.com/why-bpo-companies-must-adopt-multichannel-customer-support-center/</t>
  </si>
  <si>
    <t>https://hodusoft.com/what-is-hosted-ip-pbx/</t>
  </si>
  <si>
    <t>https://hodusoft.com/five-reasons-to-automate-your-call-center/</t>
  </si>
  <si>
    <t>https://hodusoft.com/contact-center-solutions-for-your-enterprise/</t>
  </si>
  <si>
    <t>https://hodusoft.com/on-premise-ip-pbx-benefits/</t>
  </si>
  <si>
    <t>https://hodusoft.com/what-is-csat-customer-satisfaction/</t>
  </si>
  <si>
    <t>https://hodusoft.com/what-is-least-cost-routing/</t>
  </si>
  <si>
    <t>https://hodusoft.com/top-10-health-call-center-software/</t>
  </si>
  <si>
    <t>https://hodusoft.com/what-is-telemarketing-software/</t>
  </si>
  <si>
    <t>https://hodusoft.com/a-definitive-guide-to-voip-phone-system/</t>
  </si>
  <si>
    <t>https://hodusoft.com/small-business-phone-systems-problems-solutions/</t>
  </si>
  <si>
    <t>https://hodusoft.com/call-center-software-key-differentiator-in-e-commerce/</t>
  </si>
  <si>
    <t>https://hodusoft.com/multi-line-phone-system/</t>
  </si>
  <si>
    <t>https://hodusoft.com/7-best-practices-managing-call-center-operations/</t>
  </si>
  <si>
    <t>https://hodusoft.com/contact-center-software-enhance-cx-insurance-companies/</t>
  </si>
  <si>
    <t>https://hodusoft.com/hoducc-contact-center-software-win-2023-uc-product-of-the-year/</t>
  </si>
  <si>
    <t>https://hodusoft.com/call-center-terminologies-a-guide/</t>
  </si>
  <si>
    <t>https://hodusoft.com/complete-guide-to-session-initiation-protocol/</t>
  </si>
  <si>
    <t>https://hodusoft.com/building-rapport-over-phone/</t>
  </si>
  <si>
    <t>https://hodusoft.com/guide-on-busy-lamp-field/</t>
  </si>
  <si>
    <t>https://hodusoft.com/average-handle-time-a-comprehensive-guide/</t>
  </si>
  <si>
    <t>https://hodusoft.com/in-depth-guide-inbound-call-center-software/</t>
  </si>
  <si>
    <t>https://hodusoft.com/ameyo-alternatives/</t>
  </si>
  <si>
    <t>https://hodusoft.com/cost-per-call-a-key-metric-for-your-contact-center/</t>
  </si>
  <si>
    <t>https://hodusoft.com/multi-tenant-ip-pbx-software-for-your-msp-business/</t>
  </si>
  <si>
    <t>https://hodusoft.com/role-of-lead-generation-outbound-call-centers/</t>
  </si>
  <si>
    <t>https://hodusoft.com/isp-onboarding-tenants-tips/</t>
  </si>
  <si>
    <t>https://hodusoft.com/call-queuing-importance/</t>
  </si>
  <si>
    <t>https://hodusoft.com/reduce-costs-bpo-contact-center/</t>
  </si>
  <si>
    <t>https://hodusoft.com/a-complete-guide-on-stir-shaken/</t>
  </si>
  <si>
    <t>https://hodusoft.com/increase-roi-bpo-omnichannel-contact-center-software/</t>
  </si>
  <si>
    <t>https://hodusoft.com/call-abandonment-rate-guide/</t>
  </si>
  <si>
    <t>https://hodusoft.com/dynamic-scripting-call-center-software/</t>
  </si>
  <si>
    <t>https://hodusoft.com/advanced-call-center-fcr-banks/</t>
  </si>
  <si>
    <t>https://hodusoft.com/virtual-banking-contact-center-software-remote-finance/</t>
  </si>
  <si>
    <t>https://hodusoft.com/msp-channel-device-coordination-guide/</t>
  </si>
  <si>
    <t>https://hodusoft.com/e-commerce-customer-support-for-bpo/</t>
  </si>
  <si>
    <t>https://hodusoft.com/challenges-of-bpo/</t>
  </si>
  <si>
    <t>https://hodusoft.com/hipaa-compliance-in-contact-center-software/</t>
  </si>
  <si>
    <t>https://hodusoft.com/what-is-auto-attendant/</t>
  </si>
  <si>
    <t>https://hodusoft.com/what-is-isdn/</t>
  </si>
  <si>
    <t>https://hodusoft.com/what-is-computer-telephony-integration/</t>
  </si>
  <si>
    <t>https://hodusoft.com/boost-ecommerce-sales-contact-center-software/</t>
  </si>
  <si>
    <t>https://hodusoft.com/skill-based-routing-for-insurance/</t>
  </si>
  <si>
    <t>https://hodusoft.com/customer-experience-in-the-insurance-industry/</t>
  </si>
  <si>
    <t>https://hodusoft.com/choose-best-contact-center-software-enterprise/</t>
  </si>
  <si>
    <t>https://hodusoft.com/why-telecom-companies-need-hosted-ip-pbx-software/</t>
  </si>
  <si>
    <t>https://hodusoft.com/customer-service-stats/</t>
  </si>
  <si>
    <t>https://hodusoft.com/customer-retention-in-call-centers/</t>
  </si>
  <si>
    <t>https://hodusoft.com/employee-attrition/</t>
  </si>
  <si>
    <t>https://hodusoft.com/india-bpo-industry-success-factors/</t>
  </si>
  <si>
    <t>https://hodusoft.com/ai-in-bpo-contact-centers/</t>
  </si>
  <si>
    <t>https://hodusoft.com/manual-hmo-call-centers-vs-omnichannel/</t>
  </si>
  <si>
    <t>https://hodusoft.com/ip-pbx-integration-hospital-management-systems/</t>
  </si>
  <si>
    <t>https://hodusoft.com/ai-in-healthcare/</t>
  </si>
  <si>
    <t>https://hodusoft.com/mfa-protects-customer-data-call-center/</t>
  </si>
  <si>
    <t>https://hodusoft.com/ai-and-omnichannel-in-call-center-support/</t>
  </si>
  <si>
    <t>https://hodusoft.com/net-promoter-score/</t>
  </si>
  <si>
    <t>https://hodusoft.com/boost-customer-engagement-for-msps-using-hodublasts/</t>
  </si>
  <si>
    <t>https://hodusoft.com/bpo-omnichannel-contact-center-success/</t>
  </si>
  <si>
    <t>https://hodusoft.com/how-hodu-pbx-software-eases-msps-challenges/</t>
  </si>
  <si>
    <t>https://hodusoft.com/why-multi-level-ivr-is-a-game-changer-for-hosted-pbx-services/</t>
  </si>
  <si>
    <t>https://hodusoft.com/5-ways-to-reduce-average-wait-time-in-call-center/</t>
  </si>
  <si>
    <t>https://hodusoft.com/why-ecommerce-brands-struggle-with-cart-abandonment/</t>
  </si>
  <si>
    <t>https://hodusoft.com/ai-driven-contact-centers-for-loan-approvals-debt-recovery/</t>
  </si>
  <si>
    <t>https://hodusoft.com/complete-guide-to-e-commerce-contact-center-success/</t>
  </si>
  <si>
    <t>https://hodusoft.com/why-telecom-companies-need-modern-billing-systems/</t>
  </si>
  <si>
    <t>https://hodusoft.com/insurance-customer-retention-with-contact-center-software/</t>
  </si>
  <si>
    <t>https://hodusoft.com/why-real-estate-needs-ai-powered-call-centers/</t>
  </si>
  <si>
    <t>https://hodusoft.com/top-11-communication-challenges-in-microfinance/</t>
  </si>
  <si>
    <t>https://hodusoft.com/dedicated-agent-routing-vip-support/</t>
  </si>
  <si>
    <t>https://hodusoft.com/ai-healthcare-call-centers-trends/</t>
  </si>
  <si>
    <t>https://hodusoft.com/why-calls-are-marked-spam-fix-with-stir-shaken/</t>
  </si>
  <si>
    <t>https://hodusoft.com/how-launch-your-own-hosted-pbx-service-in-a-week/</t>
  </si>
  <si>
    <t>https://hodusoft.com/understanding-ai-based-chatbots/</t>
  </si>
  <si>
    <t>https://hodusoft.com/cloud-pbx-for-msps-expand-service-portfolio/</t>
  </si>
  <si>
    <t>https://hodusoft.com/whatsapp-business-calling-hoducc-omnichannel-cx/</t>
  </si>
  <si>
    <t>https://hodusoft.com/ai-chatbot-vs-voice-bot/</t>
  </si>
  <si>
    <t>https://hodusoft.com/ai-chatbots-save-costs-bpo-operations/</t>
  </si>
  <si>
    <t>https://hodusoft.com/what-is-interactive-voice-response-ivr-and-how-to-use-it/</t>
  </si>
  <si>
    <t>https://hodusoft.com/how-can-partnering-with-the-right-pbx-software-provider-benefit-your-itsp-business/</t>
  </si>
  <si>
    <t>https://hodusoft.com/pstn-to-voip-migration-contact-center/</t>
  </si>
  <si>
    <t>https://hodusoft.com/how-does-sip-trunking-work-what-is-the-role-of-itsp-in-sip-trunking/</t>
  </si>
  <si>
    <t>https://hodusoft.com/future-ready-isps-supporting-ai-driven-contact-centers/</t>
  </si>
  <si>
    <t>https://hodusoft.com/top-14-cloud-hosted-pbx-providers-for-businesses-in-2026-and-beyond/</t>
  </si>
  <si>
    <t>https://hodusoft.com/ai-sentiment-analysis-customer-interactions/</t>
  </si>
  <si>
    <t>https://hodusoft.com/list-of-10-internet-telephony-service-providers-in-usa/</t>
  </si>
  <si>
    <t>https://hodusoft.com/multilingual-support-in-betting/</t>
  </si>
  <si>
    <t>https://hodusoft.com/roi-omnichannel-support-online-betting/</t>
  </si>
  <si>
    <t>https://hodusoft.com/voice-assistants-chatbots-reduce-betting-support-load/</t>
  </si>
  <si>
    <t>https://hodusoft.com/predict-player-rage-sentiment-analysis-in-contact-centres/</t>
  </si>
  <si>
    <t>https://hodusoft.com/ai-automation-ip-pbx-hosted-services/</t>
  </si>
  <si>
    <t>https://hodusoft.com/cloud-based-pbx-helps-itsps-improve-profit-margins-in-2026/</t>
  </si>
  <si>
    <t>https://hodusoft.com/how-msps-can-reduce-ticket-volume-with-intelligent-contact-center-platform/</t>
  </si>
  <si>
    <t>https://hodusoft.com/pabx-vs-pbx-only-one-difference/</t>
  </si>
  <si>
    <t>https://hodusoft.com/contact-center-software-evolved-2026-update/</t>
  </si>
  <si>
    <t>https://hodusoft.com/communication-software-at-mega-sports-events/</t>
  </si>
  <si>
    <t>https://hodusoft.com/why-businesses-are-switching-to-ai-contact-center/</t>
  </si>
  <si>
    <t>https://hodusoft.com/provider-branded-cx-platform-for-msps/</t>
  </si>
  <si>
    <t>https://hodusoft.com/kpis-for-betting-contact-center-support/</t>
  </si>
  <si>
    <t>https://hodusoft.com/ai-call-center-software-vs-traditional-call-centers-2026/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</si>
</sst>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4.0"/>
      <color theme="1"/>
      <name val="Arial"/>
    </font>
    <font>
      <sz val="10.0"/>
      <color theme="1"/>
      <name val="Arial"/>
    </font>
    <font>
      <i/>
      <sz val="9.0"/>
      <color rgb="FF666666"/>
      <name val="Arial"/>
    </font>
    <font>
      <b/>
      <sz val="10.0"/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</fills>
  <borders count="3">
    <border/>
    <border>
      <left/>
      <right/>
      <top/>
      <bottom/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bottom" wrapText="0"/>
    </xf>
    <xf borderId="2" fillId="0" fontId="3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2" fillId="0" fontId="5" numFmtId="0" xfId="0" applyAlignment="1" applyBorder="1" applyFont="1">
      <alignment shrinkToFit="0" vertical="top" wrapText="1"/>
    </xf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1" fillId="2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2" width="14.0"/>
    <col customWidth="1" min="3" max="26" width="8.71"/>
  </cols>
  <sheetData>
    <row r="1">
      <c r="A1" s="2" t="s">
        <v>1</v>
      </c>
    </row>
    <row r="2">
      <c r="A2" s="4" t="s">
        <v>15</v>
      </c>
    </row>
    <row r="4">
      <c r="A4" s="5" t="s">
        <v>29</v>
      </c>
    </row>
    <row r="5">
      <c r="A5" s="6" t="s">
        <v>49</v>
      </c>
      <c r="B5" s="6">
        <f>COUNTA('Current Inventory'!A:A)-1</f>
        <v>361</v>
      </c>
    </row>
    <row r="6">
      <c r="A6" s="6" t="s">
        <v>98</v>
      </c>
      <c r="B6" s="6">
        <f>COUNTIF('Current Inventory'!B:B,"Blog")</f>
        <v>251</v>
      </c>
    </row>
    <row r="7">
      <c r="A7" s="6" t="s">
        <v>115</v>
      </c>
      <c r="B7" s="6">
        <f>COUNTIF('Current Inventory'!B:B,"Features*")</f>
        <v>59</v>
      </c>
    </row>
    <row r="8">
      <c r="A8" s="6" t="s">
        <v>125</v>
      </c>
      <c r="B8" s="6">
        <f>COUNTIF('Current Inventory'!B:B,"Industries")</f>
        <v>13</v>
      </c>
    </row>
    <row r="9">
      <c r="A9" s="6" t="s">
        <v>131</v>
      </c>
      <c r="B9" s="6">
        <f>COUNTIF('Current Inventory'!B:B,"Countries")</f>
        <v>11</v>
      </c>
    </row>
    <row r="10">
      <c r="A10" s="6" t="s">
        <v>135</v>
      </c>
      <c r="B10" s="6">
        <f>COUNTIF('Current Inventory'!B:B,"Products")</f>
        <v>9</v>
      </c>
    </row>
    <row r="11">
      <c r="A11" s="5" t="s">
        <v>144</v>
      </c>
    </row>
    <row r="12">
      <c r="A12" s="6" t="s">
        <v>145</v>
      </c>
      <c r="B12" s="6">
        <f>COUNTIF('Current Inventory'!D:D,"MISSING")</f>
        <v>5</v>
      </c>
    </row>
    <row r="13">
      <c r="A13" s="6" t="s">
        <v>153</v>
      </c>
      <c r="B13" s="6">
        <f>COUNTIFS('Current Inventory'!E:E,"No*",'Current Inventory'!B:B,"&lt;&gt;Blog")</f>
        <v>66</v>
      </c>
    </row>
    <row r="14">
      <c r="A14" s="6" t="s">
        <v>181</v>
      </c>
      <c r="B14" s="6">
        <f>COUNTIF('Current Inventory'!G:G,"?*")</f>
        <v>166</v>
      </c>
    </row>
    <row r="15">
      <c r="A15" s="6" t="s">
        <v>197</v>
      </c>
      <c r="B15" s="6">
        <f>COUNTIF('Current Inventory'!J:J,"High")</f>
        <v>24</v>
      </c>
    </row>
    <row r="16">
      <c r="A16" s="6" t="s">
        <v>207</v>
      </c>
      <c r="B16" s="6">
        <f>COUNTIF('Current Inventory'!J:J,"Medium")</f>
        <v>49</v>
      </c>
    </row>
    <row r="17">
      <c r="A17" s="6" t="s">
        <v>219</v>
      </c>
      <c r="B17" s="6">
        <f>COUNTA('Redirect Map'!A:A)-1</f>
        <v>100</v>
      </c>
    </row>
    <row r="18">
      <c r="A18" s="5" t="s">
        <v>236</v>
      </c>
    </row>
    <row r="19">
      <c r="A19" s="6" t="s">
        <v>241</v>
      </c>
      <c r="B19" s="6">
        <f>COUNTA('Recommended Structure'!C:C)-1</f>
        <v>136</v>
      </c>
    </row>
    <row r="20">
      <c r="A20" s="6" t="s">
        <v>255</v>
      </c>
      <c r="B20" s="6">
        <f>COUNTIF('Recommended Structure'!F:F,"Keep")</f>
        <v>77</v>
      </c>
    </row>
    <row r="21" ht="15.75" customHeight="1">
      <c r="A21" s="6" t="s">
        <v>272</v>
      </c>
      <c r="B21" s="6">
        <f>COUNTIF('Recommended Structure'!F:F,"Rename")+COUNTIF('Recommended Structure'!F:F,"Move")+COUNTIF('Recommended Structure'!F:F,"Rebuild")</f>
        <v>11</v>
      </c>
    </row>
    <row r="22" ht="15.75" customHeight="1">
      <c r="A22" s="6" t="s">
        <v>299</v>
      </c>
      <c r="B22" s="6">
        <f>COUNTA('Pages to Create'!B:B)-1</f>
        <v>48</v>
      </c>
    </row>
    <row r="23" ht="15.75" customHeight="1"/>
    <row r="24" ht="15.75" customHeight="1">
      <c r="A24" s="8" t="s">
        <v>322</v>
      </c>
    </row>
    <row r="25" ht="27.75" customHeight="1">
      <c r="A25" s="9" t="s">
        <v>333</v>
      </c>
    </row>
    <row r="26" ht="27.75" customHeight="1">
      <c r="A26" s="9" t="s">
        <v>343</v>
      </c>
    </row>
    <row r="27" ht="27.75" customHeight="1">
      <c r="A27" s="9" t="s">
        <v>348</v>
      </c>
    </row>
    <row r="28" ht="27.75" customHeight="1">
      <c r="A28" s="9" t="s">
        <v>352</v>
      </c>
    </row>
    <row r="29" ht="27.75" customHeight="1">
      <c r="A29" s="9" t="s">
        <v>356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5:F25"/>
    <mergeCell ref="A26:F26"/>
    <mergeCell ref="A27:F27"/>
    <mergeCell ref="A28:F28"/>
    <mergeCell ref="A29:F2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2.0"/>
    <col customWidth="1" min="2" max="2" width="22.0"/>
    <col customWidth="1" min="3" max="3" width="20.0"/>
    <col customWidth="1" min="4" max="4" width="11.0"/>
    <col customWidth="1" min="5" max="5" width="14.0"/>
    <col customWidth="1" min="6" max="6" width="11.0"/>
    <col customWidth="1" min="7" max="8" width="45.0"/>
    <col customWidth="1" min="9" max="9" width="55.0"/>
    <col customWidth="1" min="10" max="10" width="10.0"/>
    <col customWidth="1" min="11" max="26" width="8.71"/>
  </cols>
  <sheetData>
    <row r="1" ht="30.0" customHeight="1">
      <c r="A1" s="1" t="s">
        <v>2</v>
      </c>
      <c r="B1" s="1" t="s">
        <v>6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5</v>
      </c>
    </row>
    <row r="2">
      <c r="A2" s="3" t="s">
        <v>16</v>
      </c>
      <c r="B2" s="3" t="s">
        <v>22</v>
      </c>
      <c r="C2" s="3" t="s">
        <v>24</v>
      </c>
      <c r="D2" s="3" t="s">
        <v>26</v>
      </c>
      <c r="E2" s="3" t="s">
        <v>28</v>
      </c>
      <c r="F2" s="3" t="s">
        <v>28</v>
      </c>
      <c r="G2" s="3"/>
      <c r="H2" s="3" t="s">
        <v>31</v>
      </c>
      <c r="I2" s="3"/>
      <c r="J2" s="3" t="s">
        <v>21</v>
      </c>
    </row>
    <row r="3">
      <c r="A3" s="3" t="s">
        <v>7</v>
      </c>
      <c r="B3" s="3" t="s">
        <v>22</v>
      </c>
      <c r="C3" s="3" t="s">
        <v>42</v>
      </c>
      <c r="D3" s="3" t="s">
        <v>26</v>
      </c>
      <c r="E3" s="3" t="s">
        <v>45</v>
      </c>
      <c r="F3" s="3" t="s">
        <v>45</v>
      </c>
      <c r="G3" s="3" t="s">
        <v>17</v>
      </c>
      <c r="H3" s="3" t="s">
        <v>50</v>
      </c>
      <c r="I3" s="3" t="s">
        <v>16</v>
      </c>
      <c r="J3" s="3" t="s">
        <v>18</v>
      </c>
    </row>
    <row r="4">
      <c r="A4" s="3" t="s">
        <v>53</v>
      </c>
      <c r="B4" s="3" t="s">
        <v>54</v>
      </c>
      <c r="C4" s="3" t="s">
        <v>54</v>
      </c>
      <c r="D4" s="3" t="s">
        <v>26</v>
      </c>
      <c r="E4" s="3" t="s">
        <v>57</v>
      </c>
      <c r="F4" s="3" t="s">
        <v>58</v>
      </c>
      <c r="G4" s="3" t="s">
        <v>60</v>
      </c>
      <c r="H4" s="3" t="s">
        <v>62</v>
      </c>
      <c r="I4" s="3"/>
      <c r="J4" s="3" t="s">
        <v>21</v>
      </c>
    </row>
    <row r="5">
      <c r="A5" s="3" t="s">
        <v>66</v>
      </c>
      <c r="B5" s="3" t="s">
        <v>54</v>
      </c>
      <c r="C5" s="3" t="s">
        <v>54</v>
      </c>
      <c r="D5" s="3" t="s">
        <v>26</v>
      </c>
      <c r="E5" s="3" t="s">
        <v>58</v>
      </c>
      <c r="F5" s="3" t="s">
        <v>58</v>
      </c>
      <c r="G5" s="3" t="s">
        <v>71</v>
      </c>
      <c r="H5" s="3" t="s">
        <v>73</v>
      </c>
      <c r="I5" s="3" t="s">
        <v>16</v>
      </c>
      <c r="J5" s="3" t="s">
        <v>37</v>
      </c>
    </row>
    <row r="6">
      <c r="A6" s="3" t="s">
        <v>78</v>
      </c>
      <c r="B6" s="3" t="s">
        <v>80</v>
      </c>
      <c r="C6" s="3" t="s">
        <v>81</v>
      </c>
      <c r="D6" s="3" t="s">
        <v>26</v>
      </c>
      <c r="E6" s="3" t="s">
        <v>57</v>
      </c>
      <c r="F6" s="3" t="s">
        <v>58</v>
      </c>
      <c r="G6" s="3" t="s">
        <v>91</v>
      </c>
      <c r="H6" s="3" t="s">
        <v>94</v>
      </c>
      <c r="I6" s="3" t="s">
        <v>95</v>
      </c>
      <c r="J6" s="3" t="s">
        <v>18</v>
      </c>
    </row>
    <row r="7">
      <c r="A7" s="3" t="s">
        <v>100</v>
      </c>
      <c r="B7" s="3" t="s">
        <v>54</v>
      </c>
      <c r="C7" s="3" t="s">
        <v>102</v>
      </c>
      <c r="D7" s="3" t="s">
        <v>26</v>
      </c>
      <c r="E7" s="3" t="s">
        <v>58</v>
      </c>
      <c r="F7" s="3" t="s">
        <v>58</v>
      </c>
      <c r="G7" s="3" t="s">
        <v>105</v>
      </c>
      <c r="H7" s="3" t="s">
        <v>107</v>
      </c>
      <c r="I7" s="3" t="s">
        <v>16</v>
      </c>
      <c r="J7" s="3" t="s">
        <v>37</v>
      </c>
    </row>
    <row r="8">
      <c r="A8" s="3" t="s">
        <v>110</v>
      </c>
      <c r="B8" s="3" t="s">
        <v>113</v>
      </c>
      <c r="C8" s="3" t="s">
        <v>102</v>
      </c>
      <c r="D8" s="3" t="s">
        <v>26</v>
      </c>
      <c r="E8" s="3" t="s">
        <v>58</v>
      </c>
      <c r="F8" s="3" t="s">
        <v>45</v>
      </c>
      <c r="G8" s="3" t="s">
        <v>118</v>
      </c>
      <c r="H8" s="3" t="s">
        <v>119</v>
      </c>
      <c r="I8" s="3" t="s">
        <v>16</v>
      </c>
      <c r="J8" s="3" t="s">
        <v>37</v>
      </c>
    </row>
    <row r="9">
      <c r="A9" s="3" t="s">
        <v>122</v>
      </c>
      <c r="B9" s="3" t="s">
        <v>54</v>
      </c>
      <c r="C9" s="3" t="s">
        <v>54</v>
      </c>
      <c r="D9" s="3" t="s">
        <v>26</v>
      </c>
      <c r="E9" s="3" t="s">
        <v>58</v>
      </c>
      <c r="F9" s="3" t="s">
        <v>58</v>
      </c>
      <c r="G9" s="3"/>
      <c r="H9" s="3" t="s">
        <v>31</v>
      </c>
      <c r="I9" s="3"/>
      <c r="J9" s="3" t="s">
        <v>21</v>
      </c>
    </row>
    <row r="10">
      <c r="A10" s="3" t="s">
        <v>128</v>
      </c>
      <c r="B10" s="3" t="s">
        <v>129</v>
      </c>
      <c r="C10" s="3" t="s">
        <v>129</v>
      </c>
      <c r="D10" s="3" t="s">
        <v>26</v>
      </c>
      <c r="E10" s="3" t="s">
        <v>45</v>
      </c>
      <c r="F10" s="3" t="s">
        <v>58</v>
      </c>
      <c r="G10" s="3"/>
      <c r="H10" s="3" t="s">
        <v>31</v>
      </c>
      <c r="I10" s="3"/>
      <c r="J10" s="3" t="s">
        <v>21</v>
      </c>
    </row>
    <row r="11">
      <c r="A11" s="3" t="s">
        <v>133</v>
      </c>
      <c r="B11" s="3" t="s">
        <v>129</v>
      </c>
      <c r="C11" s="3" t="s">
        <v>129</v>
      </c>
      <c r="D11" s="3" t="s">
        <v>26</v>
      </c>
      <c r="E11" s="3" t="s">
        <v>45</v>
      </c>
      <c r="F11" s="3" t="s">
        <v>58</v>
      </c>
      <c r="G11" s="3"/>
      <c r="H11" s="3" t="s">
        <v>31</v>
      </c>
      <c r="I11" s="3"/>
      <c r="J11" s="3" t="s">
        <v>21</v>
      </c>
    </row>
    <row r="12">
      <c r="A12" s="3" t="s">
        <v>137</v>
      </c>
      <c r="B12" s="3" t="s">
        <v>80</v>
      </c>
      <c r="C12" s="3" t="s">
        <v>81</v>
      </c>
      <c r="D12" s="3" t="s">
        <v>139</v>
      </c>
      <c r="E12" s="3" t="s">
        <v>58</v>
      </c>
      <c r="F12" s="3" t="s">
        <v>58</v>
      </c>
      <c r="G12" s="3" t="s">
        <v>140</v>
      </c>
      <c r="H12" s="3" t="s">
        <v>141</v>
      </c>
      <c r="I12" s="3"/>
      <c r="J12" s="3" t="s">
        <v>21</v>
      </c>
    </row>
    <row r="13">
      <c r="A13" s="3" t="s">
        <v>142</v>
      </c>
      <c r="B13" s="3" t="s">
        <v>80</v>
      </c>
      <c r="C13" s="3" t="s">
        <v>81</v>
      </c>
      <c r="D13" s="3" t="s">
        <v>148</v>
      </c>
      <c r="E13" s="3" t="s">
        <v>45</v>
      </c>
      <c r="F13" s="3" t="s">
        <v>45</v>
      </c>
      <c r="G13" s="3" t="s">
        <v>150</v>
      </c>
      <c r="H13" s="3" t="s">
        <v>151</v>
      </c>
      <c r="I13" s="3" t="s">
        <v>16</v>
      </c>
      <c r="J13" s="3" t="s">
        <v>18</v>
      </c>
    </row>
    <row r="14">
      <c r="A14" s="3" t="s">
        <v>155</v>
      </c>
      <c r="B14" s="3" t="s">
        <v>80</v>
      </c>
      <c r="C14" s="3" t="s">
        <v>156</v>
      </c>
      <c r="D14" s="3" t="s">
        <v>148</v>
      </c>
      <c r="E14" s="3" t="s">
        <v>45</v>
      </c>
      <c r="F14" s="3" t="s">
        <v>45</v>
      </c>
      <c r="G14" s="3" t="s">
        <v>159</v>
      </c>
      <c r="H14" s="3" t="s">
        <v>31</v>
      </c>
      <c r="I14" s="3"/>
      <c r="J14" s="3" t="s">
        <v>21</v>
      </c>
    </row>
    <row r="15">
      <c r="A15" s="3" t="s">
        <v>164</v>
      </c>
      <c r="B15" s="3" t="s">
        <v>80</v>
      </c>
      <c r="C15" s="3" t="s">
        <v>156</v>
      </c>
      <c r="D15" s="3" t="s">
        <v>148</v>
      </c>
      <c r="E15" s="3" t="s">
        <v>45</v>
      </c>
      <c r="F15" s="3" t="s">
        <v>45</v>
      </c>
      <c r="G15" s="3" t="s">
        <v>159</v>
      </c>
      <c r="H15" s="3" t="s">
        <v>31</v>
      </c>
      <c r="I15" s="3"/>
      <c r="J15" s="3" t="s">
        <v>21</v>
      </c>
    </row>
    <row r="16">
      <c r="A16" s="3" t="s">
        <v>170</v>
      </c>
      <c r="B16" s="3" t="s">
        <v>54</v>
      </c>
      <c r="C16" s="3" t="s">
        <v>171</v>
      </c>
      <c r="D16" s="3" t="s">
        <v>172</v>
      </c>
      <c r="E16" s="3" t="s">
        <v>45</v>
      </c>
      <c r="F16" s="3" t="s">
        <v>45</v>
      </c>
      <c r="G16" s="3" t="s">
        <v>174</v>
      </c>
      <c r="H16" s="3" t="s">
        <v>175</v>
      </c>
      <c r="I16" s="3"/>
      <c r="J16" s="3" t="s">
        <v>21</v>
      </c>
    </row>
    <row r="17">
      <c r="A17" s="3" t="s">
        <v>178</v>
      </c>
      <c r="B17" s="3" t="s">
        <v>54</v>
      </c>
      <c r="C17" s="3" t="s">
        <v>171</v>
      </c>
      <c r="D17" s="3" t="s">
        <v>172</v>
      </c>
      <c r="E17" s="3" t="s">
        <v>45</v>
      </c>
      <c r="F17" s="3" t="s">
        <v>45</v>
      </c>
      <c r="G17" s="3" t="s">
        <v>174</v>
      </c>
      <c r="H17" s="3" t="s">
        <v>175</v>
      </c>
      <c r="I17" s="3"/>
      <c r="J17" s="3" t="s">
        <v>21</v>
      </c>
    </row>
    <row r="18">
      <c r="A18" s="3" t="s">
        <v>188</v>
      </c>
      <c r="B18" s="3" t="s">
        <v>54</v>
      </c>
      <c r="C18" s="3" t="s">
        <v>171</v>
      </c>
      <c r="D18" s="3" t="s">
        <v>172</v>
      </c>
      <c r="E18" s="3" t="s">
        <v>45</v>
      </c>
      <c r="F18" s="3" t="s">
        <v>45</v>
      </c>
      <c r="G18" s="3" t="s">
        <v>174</v>
      </c>
      <c r="H18" s="3" t="s">
        <v>175</v>
      </c>
      <c r="I18" s="3"/>
      <c r="J18" s="3" t="s">
        <v>21</v>
      </c>
    </row>
    <row r="19">
      <c r="A19" s="3" t="s">
        <v>198</v>
      </c>
      <c r="B19" s="3" t="s">
        <v>54</v>
      </c>
      <c r="C19" s="3" t="s">
        <v>171</v>
      </c>
      <c r="D19" s="3" t="s">
        <v>172</v>
      </c>
      <c r="E19" s="3" t="s">
        <v>45</v>
      </c>
      <c r="F19" s="3" t="s">
        <v>45</v>
      </c>
      <c r="G19" s="3" t="s">
        <v>174</v>
      </c>
      <c r="H19" s="3" t="s">
        <v>175</v>
      </c>
      <c r="I19" s="3"/>
      <c r="J19" s="3" t="s">
        <v>21</v>
      </c>
    </row>
    <row r="20">
      <c r="A20" s="3" t="s">
        <v>185</v>
      </c>
      <c r="B20" s="3" t="s">
        <v>182</v>
      </c>
      <c r="C20" s="3" t="s">
        <v>213</v>
      </c>
      <c r="D20" s="3" t="s">
        <v>214</v>
      </c>
      <c r="E20" s="3" t="s">
        <v>45</v>
      </c>
      <c r="F20" s="3" t="s">
        <v>45</v>
      </c>
      <c r="G20" s="3" t="s">
        <v>215</v>
      </c>
      <c r="H20" s="3" t="s">
        <v>218</v>
      </c>
      <c r="I20" s="3" t="s">
        <v>16</v>
      </c>
      <c r="J20" s="3" t="s">
        <v>18</v>
      </c>
    </row>
    <row r="21" ht="15.75" customHeight="1">
      <c r="A21" s="3" t="s">
        <v>39</v>
      </c>
      <c r="B21" s="3" t="s">
        <v>182</v>
      </c>
      <c r="C21" s="3" t="s">
        <v>223</v>
      </c>
      <c r="D21" s="3" t="s">
        <v>214</v>
      </c>
      <c r="E21" s="3" t="s">
        <v>58</v>
      </c>
      <c r="F21" s="3" t="s">
        <v>45</v>
      </c>
      <c r="G21" s="3" t="s">
        <v>227</v>
      </c>
      <c r="H21" s="3" t="s">
        <v>228</v>
      </c>
      <c r="I21" s="3"/>
      <c r="J21" s="3" t="s">
        <v>21</v>
      </c>
    </row>
    <row r="22" ht="15.75" customHeight="1">
      <c r="A22" s="3" t="s">
        <v>201</v>
      </c>
      <c r="B22" s="3" t="s">
        <v>182</v>
      </c>
      <c r="C22" s="3" t="s">
        <v>223</v>
      </c>
      <c r="D22" s="3" t="s">
        <v>214</v>
      </c>
      <c r="E22" s="3" t="s">
        <v>58</v>
      </c>
      <c r="F22" s="3" t="s">
        <v>237</v>
      </c>
      <c r="G22" s="3" t="s">
        <v>239</v>
      </c>
      <c r="H22" s="3" t="s">
        <v>228</v>
      </c>
      <c r="I22" s="3"/>
      <c r="J22" s="3" t="s">
        <v>21</v>
      </c>
    </row>
    <row r="23" ht="15.75" customHeight="1">
      <c r="A23" s="3" t="s">
        <v>19</v>
      </c>
      <c r="B23" s="3" t="s">
        <v>182</v>
      </c>
      <c r="C23" s="3" t="s">
        <v>223</v>
      </c>
      <c r="D23" s="3" t="s">
        <v>214</v>
      </c>
      <c r="E23" s="3" t="s">
        <v>58</v>
      </c>
      <c r="F23" s="3" t="s">
        <v>237</v>
      </c>
      <c r="G23" s="3" t="s">
        <v>20</v>
      </c>
      <c r="H23" s="3" t="s">
        <v>248</v>
      </c>
      <c r="I23" s="3" t="s">
        <v>16</v>
      </c>
      <c r="J23" s="3" t="s">
        <v>21</v>
      </c>
    </row>
    <row r="24" ht="15.75" customHeight="1">
      <c r="A24" s="3" t="s">
        <v>25</v>
      </c>
      <c r="B24" s="3" t="s">
        <v>182</v>
      </c>
      <c r="C24" s="3" t="s">
        <v>223</v>
      </c>
      <c r="D24" s="3" t="s">
        <v>214</v>
      </c>
      <c r="E24" s="3" t="s">
        <v>58</v>
      </c>
      <c r="F24" s="3" t="s">
        <v>45</v>
      </c>
      <c r="G24" s="3" t="s">
        <v>257</v>
      </c>
      <c r="H24" s="3" t="s">
        <v>258</v>
      </c>
      <c r="I24" s="3" t="s">
        <v>16</v>
      </c>
      <c r="J24" s="3" t="s">
        <v>18</v>
      </c>
    </row>
    <row r="25" ht="15.75" customHeight="1">
      <c r="A25" s="3" t="s">
        <v>23</v>
      </c>
      <c r="B25" s="3" t="s">
        <v>182</v>
      </c>
      <c r="C25" s="3" t="s">
        <v>223</v>
      </c>
      <c r="D25" s="3" t="s">
        <v>214</v>
      </c>
      <c r="E25" s="3" t="s">
        <v>45</v>
      </c>
      <c r="F25" s="3" t="s">
        <v>263</v>
      </c>
      <c r="G25" s="3" t="s">
        <v>27</v>
      </c>
      <c r="H25" s="3" t="s">
        <v>266</v>
      </c>
      <c r="I25" s="3" t="s">
        <v>25</v>
      </c>
      <c r="J25" s="3" t="s">
        <v>18</v>
      </c>
    </row>
    <row r="26" ht="15.75" customHeight="1">
      <c r="A26" s="3" t="s">
        <v>30</v>
      </c>
      <c r="B26" s="3" t="s">
        <v>182</v>
      </c>
      <c r="C26" s="3" t="s">
        <v>223</v>
      </c>
      <c r="D26" s="3" t="s">
        <v>214</v>
      </c>
      <c r="E26" s="3" t="s">
        <v>45</v>
      </c>
      <c r="F26" s="3" t="s">
        <v>45</v>
      </c>
      <c r="G26" s="3" t="s">
        <v>33</v>
      </c>
      <c r="H26" s="3" t="s">
        <v>266</v>
      </c>
      <c r="I26" s="3" t="s">
        <v>32</v>
      </c>
      <c r="J26" s="3" t="s">
        <v>18</v>
      </c>
    </row>
    <row r="27" ht="15.75" customHeight="1">
      <c r="A27" s="3" t="s">
        <v>250</v>
      </c>
      <c r="B27" s="3" t="s">
        <v>182</v>
      </c>
      <c r="C27" s="3" t="s">
        <v>223</v>
      </c>
      <c r="D27" s="3" t="s">
        <v>214</v>
      </c>
      <c r="E27" s="3" t="s">
        <v>45</v>
      </c>
      <c r="F27" s="3" t="s">
        <v>58</v>
      </c>
      <c r="G27" s="3" t="s">
        <v>287</v>
      </c>
      <c r="H27" s="3" t="s">
        <v>289</v>
      </c>
      <c r="I27" s="3" t="s">
        <v>16</v>
      </c>
      <c r="J27" s="3" t="s">
        <v>37</v>
      </c>
    </row>
    <row r="28" ht="15.75" customHeight="1">
      <c r="A28" s="3" t="s">
        <v>97</v>
      </c>
      <c r="B28" s="3" t="s">
        <v>182</v>
      </c>
      <c r="C28" s="3" t="s">
        <v>223</v>
      </c>
      <c r="D28" s="3" t="s">
        <v>214</v>
      </c>
      <c r="E28" s="3" t="s">
        <v>58</v>
      </c>
      <c r="F28" s="3" t="s">
        <v>58</v>
      </c>
      <c r="G28" s="3" t="s">
        <v>293</v>
      </c>
      <c r="H28" s="3" t="s">
        <v>296</v>
      </c>
      <c r="I28" s="3"/>
      <c r="J28" s="3" t="s">
        <v>21</v>
      </c>
    </row>
    <row r="29" ht="15.75" customHeight="1">
      <c r="A29" s="3" t="s">
        <v>300</v>
      </c>
      <c r="B29" s="3" t="s">
        <v>301</v>
      </c>
      <c r="C29" s="3" t="s">
        <v>303</v>
      </c>
      <c r="D29" s="3" t="s">
        <v>304</v>
      </c>
      <c r="E29" s="3" t="s">
        <v>58</v>
      </c>
      <c r="F29" s="3" t="s">
        <v>45</v>
      </c>
      <c r="G29" s="3"/>
      <c r="H29" s="3" t="s">
        <v>31</v>
      </c>
      <c r="I29" s="3" t="s">
        <v>16</v>
      </c>
      <c r="J29" s="3" t="s">
        <v>21</v>
      </c>
    </row>
    <row r="30" ht="15.75" customHeight="1">
      <c r="A30" s="3" t="s">
        <v>308</v>
      </c>
      <c r="B30" s="3" t="s">
        <v>301</v>
      </c>
      <c r="C30" s="3" t="s">
        <v>310</v>
      </c>
      <c r="D30" s="3" t="s">
        <v>304</v>
      </c>
      <c r="E30" s="3" t="s">
        <v>58</v>
      </c>
      <c r="F30" s="3" t="s">
        <v>45</v>
      </c>
      <c r="G30" s="3"/>
      <c r="H30" s="3" t="s">
        <v>31</v>
      </c>
      <c r="I30" s="3" t="s">
        <v>16</v>
      </c>
      <c r="J30" s="3" t="s">
        <v>21</v>
      </c>
    </row>
    <row r="31" ht="15.75" customHeight="1">
      <c r="A31" s="3" t="s">
        <v>316</v>
      </c>
      <c r="B31" s="3" t="s">
        <v>301</v>
      </c>
      <c r="C31" s="3" t="s">
        <v>303</v>
      </c>
      <c r="D31" s="3" t="s">
        <v>304</v>
      </c>
      <c r="E31" s="3" t="s">
        <v>58</v>
      </c>
      <c r="F31" s="3" t="s">
        <v>45</v>
      </c>
      <c r="G31" s="3" t="s">
        <v>330</v>
      </c>
      <c r="H31" s="3" t="s">
        <v>331</v>
      </c>
      <c r="I31" s="3" t="s">
        <v>16</v>
      </c>
      <c r="J31" s="3" t="s">
        <v>21</v>
      </c>
    </row>
    <row r="32" ht="15.75" customHeight="1">
      <c r="A32" s="3" t="s">
        <v>337</v>
      </c>
      <c r="B32" s="3" t="s">
        <v>301</v>
      </c>
      <c r="C32" s="3" t="s">
        <v>310</v>
      </c>
      <c r="D32" s="3" t="s">
        <v>304</v>
      </c>
      <c r="E32" s="3" t="s">
        <v>58</v>
      </c>
      <c r="F32" s="3" t="s">
        <v>45</v>
      </c>
      <c r="G32" s="3" t="s">
        <v>330</v>
      </c>
      <c r="H32" s="3" t="s">
        <v>331</v>
      </c>
      <c r="I32" s="3" t="s">
        <v>16</v>
      </c>
      <c r="J32" s="3" t="s">
        <v>21</v>
      </c>
    </row>
    <row r="33" ht="15.75" customHeight="1">
      <c r="A33" s="3" t="s">
        <v>345</v>
      </c>
      <c r="B33" s="3" t="s">
        <v>301</v>
      </c>
      <c r="C33" s="3" t="s">
        <v>303</v>
      </c>
      <c r="D33" s="3" t="s">
        <v>304</v>
      </c>
      <c r="E33" s="3" t="s">
        <v>58</v>
      </c>
      <c r="F33" s="3" t="s">
        <v>45</v>
      </c>
      <c r="G33" s="3" t="s">
        <v>330</v>
      </c>
      <c r="H33" s="3" t="s">
        <v>331</v>
      </c>
      <c r="I33" s="3" t="s">
        <v>16</v>
      </c>
      <c r="J33" s="3" t="s">
        <v>21</v>
      </c>
    </row>
    <row r="34" ht="15.75" customHeight="1">
      <c r="A34" s="3" t="s">
        <v>357</v>
      </c>
      <c r="B34" s="3" t="s">
        <v>301</v>
      </c>
      <c r="C34" s="3" t="s">
        <v>303</v>
      </c>
      <c r="D34" s="3" t="s">
        <v>304</v>
      </c>
      <c r="E34" s="3" t="s">
        <v>58</v>
      </c>
      <c r="F34" s="3" t="s">
        <v>45</v>
      </c>
      <c r="G34" s="3" t="s">
        <v>330</v>
      </c>
      <c r="H34" s="3" t="s">
        <v>331</v>
      </c>
      <c r="I34" s="3" t="s">
        <v>16</v>
      </c>
      <c r="J34" s="3" t="s">
        <v>21</v>
      </c>
    </row>
    <row r="35" ht="15.75" customHeight="1">
      <c r="A35" s="3" t="s">
        <v>361</v>
      </c>
      <c r="B35" s="3" t="s">
        <v>301</v>
      </c>
      <c r="C35" s="3" t="s">
        <v>310</v>
      </c>
      <c r="D35" s="3" t="s">
        <v>304</v>
      </c>
      <c r="E35" s="3" t="s">
        <v>58</v>
      </c>
      <c r="F35" s="3" t="s">
        <v>45</v>
      </c>
      <c r="G35" s="3"/>
      <c r="H35" s="3" t="s">
        <v>31</v>
      </c>
      <c r="I35" s="3" t="s">
        <v>16</v>
      </c>
      <c r="J35" s="3" t="s">
        <v>21</v>
      </c>
    </row>
    <row r="36" ht="15.75" customHeight="1">
      <c r="A36" s="3" t="s">
        <v>367</v>
      </c>
      <c r="B36" s="3" t="s">
        <v>301</v>
      </c>
      <c r="C36" s="3" t="s">
        <v>303</v>
      </c>
      <c r="D36" s="3" t="s">
        <v>304</v>
      </c>
      <c r="E36" s="3" t="s">
        <v>58</v>
      </c>
      <c r="F36" s="3" t="s">
        <v>45</v>
      </c>
      <c r="G36" s="3"/>
      <c r="H36" s="3" t="s">
        <v>31</v>
      </c>
      <c r="I36" s="3" t="s">
        <v>16</v>
      </c>
      <c r="J36" s="3" t="s">
        <v>21</v>
      </c>
    </row>
    <row r="37" ht="15.75" customHeight="1">
      <c r="A37" s="3" t="s">
        <v>370</v>
      </c>
      <c r="B37" s="3" t="s">
        <v>301</v>
      </c>
      <c r="C37" s="3" t="s">
        <v>310</v>
      </c>
      <c r="D37" s="3" t="s">
        <v>304</v>
      </c>
      <c r="E37" s="3" t="s">
        <v>58</v>
      </c>
      <c r="F37" s="3" t="s">
        <v>45</v>
      </c>
      <c r="G37" s="3"/>
      <c r="H37" s="3" t="s">
        <v>31</v>
      </c>
      <c r="I37" s="3" t="s">
        <v>16</v>
      </c>
      <c r="J37" s="3" t="s">
        <v>21</v>
      </c>
    </row>
    <row r="38" ht="15.75" customHeight="1">
      <c r="A38" s="3" t="s">
        <v>375</v>
      </c>
      <c r="B38" s="3" t="s">
        <v>301</v>
      </c>
      <c r="C38" s="3" t="s">
        <v>310</v>
      </c>
      <c r="D38" s="3" t="s">
        <v>304</v>
      </c>
      <c r="E38" s="3" t="s">
        <v>58</v>
      </c>
      <c r="F38" s="3" t="s">
        <v>45</v>
      </c>
      <c r="G38" s="3"/>
      <c r="H38" s="3" t="s">
        <v>31</v>
      </c>
      <c r="I38" s="3" t="s">
        <v>16</v>
      </c>
      <c r="J38" s="3" t="s">
        <v>21</v>
      </c>
    </row>
    <row r="39" ht="15.75" customHeight="1">
      <c r="A39" s="3" t="s">
        <v>378</v>
      </c>
      <c r="B39" s="3" t="s">
        <v>301</v>
      </c>
      <c r="C39" s="3" t="s">
        <v>379</v>
      </c>
      <c r="D39" s="3" t="s">
        <v>380</v>
      </c>
      <c r="E39" s="3" t="s">
        <v>58</v>
      </c>
      <c r="F39" s="3" t="s">
        <v>45</v>
      </c>
      <c r="G39" s="3" t="s">
        <v>383</v>
      </c>
      <c r="H39" s="3" t="s">
        <v>384</v>
      </c>
      <c r="I39" s="3" t="s">
        <v>16</v>
      </c>
      <c r="J39" s="3" t="s">
        <v>18</v>
      </c>
    </row>
    <row r="40" ht="15.75" customHeight="1">
      <c r="A40" s="3" t="s">
        <v>385</v>
      </c>
      <c r="B40" s="3" t="s">
        <v>301</v>
      </c>
      <c r="C40" s="3" t="s">
        <v>379</v>
      </c>
      <c r="D40" s="3" t="s">
        <v>380</v>
      </c>
      <c r="E40" s="3" t="s">
        <v>58</v>
      </c>
      <c r="F40" s="3" t="s">
        <v>45</v>
      </c>
      <c r="G40" s="3" t="s">
        <v>383</v>
      </c>
      <c r="H40" s="3" t="s">
        <v>384</v>
      </c>
      <c r="I40" s="3" t="s">
        <v>16</v>
      </c>
      <c r="J40" s="3" t="s">
        <v>18</v>
      </c>
    </row>
    <row r="41" ht="15.75" customHeight="1">
      <c r="A41" s="3" t="s">
        <v>390</v>
      </c>
      <c r="B41" s="3" t="s">
        <v>301</v>
      </c>
      <c r="C41" s="3" t="s">
        <v>379</v>
      </c>
      <c r="D41" s="3" t="s">
        <v>380</v>
      </c>
      <c r="E41" s="3" t="s">
        <v>58</v>
      </c>
      <c r="F41" s="3" t="s">
        <v>45</v>
      </c>
      <c r="G41" s="3" t="s">
        <v>383</v>
      </c>
      <c r="H41" s="3" t="s">
        <v>384</v>
      </c>
      <c r="I41" s="3" t="s">
        <v>16</v>
      </c>
      <c r="J41" s="3" t="s">
        <v>18</v>
      </c>
    </row>
    <row r="42" ht="15.75" customHeight="1">
      <c r="A42" s="3" t="s">
        <v>320</v>
      </c>
      <c r="B42" s="3" t="s">
        <v>279</v>
      </c>
      <c r="C42" s="3" t="s">
        <v>394</v>
      </c>
      <c r="D42" s="3" t="s">
        <v>395</v>
      </c>
      <c r="E42" s="3" t="s">
        <v>45</v>
      </c>
      <c r="F42" s="3" t="s">
        <v>45</v>
      </c>
      <c r="G42" s="3" t="s">
        <v>398</v>
      </c>
      <c r="H42" s="3" t="s">
        <v>399</v>
      </c>
      <c r="I42" s="3"/>
      <c r="J42" s="3" t="s">
        <v>37</v>
      </c>
    </row>
    <row r="43" ht="15.75" customHeight="1">
      <c r="A43" s="3" t="s">
        <v>369</v>
      </c>
      <c r="B43" s="3" t="s">
        <v>364</v>
      </c>
      <c r="C43" s="3" t="s">
        <v>394</v>
      </c>
      <c r="D43" s="3" t="s">
        <v>395</v>
      </c>
      <c r="E43" s="3" t="s">
        <v>45</v>
      </c>
      <c r="F43" s="3" t="s">
        <v>45</v>
      </c>
      <c r="G43" s="3" t="s">
        <v>48</v>
      </c>
      <c r="H43" s="3" t="s">
        <v>403</v>
      </c>
      <c r="I43" s="3"/>
      <c r="J43" s="3" t="s">
        <v>37</v>
      </c>
    </row>
    <row r="44" ht="15.75" customHeight="1">
      <c r="A44" s="3" t="s">
        <v>64</v>
      </c>
      <c r="B44" s="3" t="s">
        <v>400</v>
      </c>
      <c r="C44" s="3" t="s">
        <v>394</v>
      </c>
      <c r="D44" s="3" t="s">
        <v>395</v>
      </c>
      <c r="E44" s="3" t="s">
        <v>45</v>
      </c>
      <c r="F44" s="3" t="s">
        <v>45</v>
      </c>
      <c r="G44" s="3" t="s">
        <v>159</v>
      </c>
      <c r="H44" s="3" t="s">
        <v>406</v>
      </c>
      <c r="I44" s="3"/>
      <c r="J44" s="3" t="s">
        <v>37</v>
      </c>
    </row>
    <row r="45" ht="15.75" customHeight="1">
      <c r="A45" s="3" t="s">
        <v>34</v>
      </c>
      <c r="B45" s="3" t="s">
        <v>408</v>
      </c>
      <c r="C45" s="3" t="s">
        <v>394</v>
      </c>
      <c r="D45" s="3" t="s">
        <v>395</v>
      </c>
      <c r="E45" s="3" t="s">
        <v>45</v>
      </c>
      <c r="F45" s="3" t="s">
        <v>45</v>
      </c>
      <c r="G45" s="3" t="s">
        <v>36</v>
      </c>
      <c r="H45" s="3" t="s">
        <v>411</v>
      </c>
      <c r="I45" s="3" t="s">
        <v>35</v>
      </c>
      <c r="J45" s="3" t="s">
        <v>37</v>
      </c>
    </row>
    <row r="46" ht="15.75" customHeight="1">
      <c r="A46" s="3" t="s">
        <v>413</v>
      </c>
      <c r="B46" s="3" t="s">
        <v>415</v>
      </c>
      <c r="C46" s="3" t="s">
        <v>394</v>
      </c>
      <c r="D46" s="3" t="s">
        <v>395</v>
      </c>
      <c r="E46" s="3" t="s">
        <v>45</v>
      </c>
      <c r="F46" s="3" t="s">
        <v>45</v>
      </c>
      <c r="G46" s="3" t="s">
        <v>48</v>
      </c>
      <c r="H46" s="3" t="s">
        <v>417</v>
      </c>
      <c r="I46" s="3"/>
      <c r="J46" s="3" t="s">
        <v>21</v>
      </c>
    </row>
    <row r="47" ht="15.75" customHeight="1">
      <c r="A47" s="3" t="s">
        <v>416</v>
      </c>
      <c r="B47" s="3" t="s">
        <v>400</v>
      </c>
      <c r="C47" s="3" t="s">
        <v>394</v>
      </c>
      <c r="D47" s="3" t="s">
        <v>395</v>
      </c>
      <c r="E47" s="3" t="s">
        <v>58</v>
      </c>
      <c r="F47" s="3" t="s">
        <v>45</v>
      </c>
      <c r="G47" s="3"/>
      <c r="H47" s="3" t="s">
        <v>31</v>
      </c>
      <c r="I47" s="3"/>
      <c r="J47" s="3" t="s">
        <v>21</v>
      </c>
    </row>
    <row r="48" ht="15.75" customHeight="1">
      <c r="A48" s="3" t="s">
        <v>423</v>
      </c>
      <c r="B48" s="3" t="s">
        <v>415</v>
      </c>
      <c r="C48" s="3" t="s">
        <v>394</v>
      </c>
      <c r="D48" s="3" t="s">
        <v>395</v>
      </c>
      <c r="E48" s="3" t="s">
        <v>58</v>
      </c>
      <c r="F48" s="3" t="s">
        <v>45</v>
      </c>
      <c r="G48" s="3"/>
      <c r="H48" s="3" t="s">
        <v>31</v>
      </c>
      <c r="I48" s="3"/>
      <c r="J48" s="3" t="s">
        <v>21</v>
      </c>
    </row>
    <row r="49" ht="15.75" customHeight="1">
      <c r="A49" s="3" t="s">
        <v>374</v>
      </c>
      <c r="B49" s="3" t="s">
        <v>364</v>
      </c>
      <c r="C49" s="3" t="s">
        <v>394</v>
      </c>
      <c r="D49" s="3" t="s">
        <v>395</v>
      </c>
      <c r="E49" s="3" t="s">
        <v>58</v>
      </c>
      <c r="F49" s="3" t="s">
        <v>45</v>
      </c>
      <c r="G49" s="3"/>
      <c r="H49" s="3" t="s">
        <v>31</v>
      </c>
      <c r="I49" s="3"/>
      <c r="J49" s="3" t="s">
        <v>21</v>
      </c>
    </row>
    <row r="50" ht="15.75" customHeight="1">
      <c r="A50" s="3" t="s">
        <v>38</v>
      </c>
      <c r="B50" s="3" t="s">
        <v>386</v>
      </c>
      <c r="C50" s="3" t="s">
        <v>394</v>
      </c>
      <c r="D50" s="3" t="s">
        <v>395</v>
      </c>
      <c r="E50" s="3" t="s">
        <v>45</v>
      </c>
      <c r="F50" s="3" t="s">
        <v>45</v>
      </c>
      <c r="G50" s="3" t="s">
        <v>40</v>
      </c>
      <c r="H50" s="3" t="s">
        <v>266</v>
      </c>
      <c r="I50" s="3" t="s">
        <v>39</v>
      </c>
      <c r="J50" s="3" t="s">
        <v>18</v>
      </c>
    </row>
    <row r="51" ht="15.75" customHeight="1">
      <c r="A51" s="3" t="s">
        <v>412</v>
      </c>
      <c r="B51" s="3" t="s">
        <v>400</v>
      </c>
      <c r="C51" s="3" t="s">
        <v>394</v>
      </c>
      <c r="D51" s="3" t="s">
        <v>395</v>
      </c>
      <c r="E51" s="3" t="s">
        <v>45</v>
      </c>
      <c r="F51" s="3" t="s">
        <v>45</v>
      </c>
      <c r="G51" s="3" t="s">
        <v>48</v>
      </c>
      <c r="H51" s="3" t="s">
        <v>436</v>
      </c>
      <c r="I51" s="3"/>
      <c r="J51" s="3" t="s">
        <v>37</v>
      </c>
    </row>
    <row r="52" ht="15.75" customHeight="1">
      <c r="A52" s="3" t="s">
        <v>41</v>
      </c>
      <c r="B52" s="3" t="s">
        <v>400</v>
      </c>
      <c r="C52" s="3" t="s">
        <v>394</v>
      </c>
      <c r="D52" s="3" t="s">
        <v>395</v>
      </c>
      <c r="E52" s="3" t="s">
        <v>45</v>
      </c>
      <c r="F52" s="3" t="s">
        <v>45</v>
      </c>
      <c r="G52" s="3" t="s">
        <v>44</v>
      </c>
      <c r="H52" s="3" t="s">
        <v>266</v>
      </c>
      <c r="I52" s="3" t="s">
        <v>43</v>
      </c>
      <c r="J52" s="3" t="s">
        <v>18</v>
      </c>
    </row>
    <row r="53" ht="15.75" customHeight="1">
      <c r="A53" s="3" t="s">
        <v>43</v>
      </c>
      <c r="B53" s="3" t="s">
        <v>400</v>
      </c>
      <c r="C53" s="3" t="s">
        <v>394</v>
      </c>
      <c r="D53" s="3" t="s">
        <v>395</v>
      </c>
      <c r="E53" s="3" t="s">
        <v>442</v>
      </c>
      <c r="F53" s="3" t="s">
        <v>45</v>
      </c>
      <c r="G53" s="3" t="s">
        <v>445</v>
      </c>
      <c r="H53" s="3" t="s">
        <v>228</v>
      </c>
      <c r="I53" s="3"/>
      <c r="J53" s="3" t="s">
        <v>18</v>
      </c>
    </row>
    <row r="54" ht="15.75" customHeight="1">
      <c r="A54" s="3" t="s">
        <v>397</v>
      </c>
      <c r="B54" s="3" t="s">
        <v>386</v>
      </c>
      <c r="C54" s="3" t="s">
        <v>394</v>
      </c>
      <c r="D54" s="3" t="s">
        <v>395</v>
      </c>
      <c r="E54" s="3" t="s">
        <v>58</v>
      </c>
      <c r="F54" s="3" t="s">
        <v>45</v>
      </c>
      <c r="G54" s="3"/>
      <c r="H54" s="3" t="s">
        <v>31</v>
      </c>
      <c r="I54" s="3"/>
      <c r="J54" s="3" t="s">
        <v>21</v>
      </c>
    </row>
    <row r="55" ht="15.75" customHeight="1">
      <c r="A55" s="3" t="s">
        <v>46</v>
      </c>
      <c r="B55" s="3" t="s">
        <v>408</v>
      </c>
      <c r="C55" s="3" t="s">
        <v>394</v>
      </c>
      <c r="D55" s="3" t="s">
        <v>395</v>
      </c>
      <c r="E55" s="3" t="s">
        <v>45</v>
      </c>
      <c r="F55" s="3" t="s">
        <v>45</v>
      </c>
      <c r="G55" s="3" t="s">
        <v>48</v>
      </c>
      <c r="H55" s="3" t="s">
        <v>411</v>
      </c>
      <c r="I55" s="3" t="s">
        <v>47</v>
      </c>
      <c r="J55" s="3" t="s">
        <v>21</v>
      </c>
    </row>
    <row r="56" ht="15.75" customHeight="1">
      <c r="A56" s="3" t="s">
        <v>51</v>
      </c>
      <c r="B56" s="3" t="s">
        <v>408</v>
      </c>
      <c r="C56" s="3" t="s">
        <v>394</v>
      </c>
      <c r="D56" s="3" t="s">
        <v>395</v>
      </c>
      <c r="E56" s="3" t="s">
        <v>45</v>
      </c>
      <c r="F56" s="3" t="s">
        <v>45</v>
      </c>
      <c r="G56" s="3" t="s">
        <v>48</v>
      </c>
      <c r="H56" s="3" t="s">
        <v>411</v>
      </c>
      <c r="I56" s="3" t="s">
        <v>52</v>
      </c>
      <c r="J56" s="3" t="s">
        <v>37</v>
      </c>
    </row>
    <row r="57" ht="15.75" customHeight="1">
      <c r="A57" s="3" t="s">
        <v>55</v>
      </c>
      <c r="B57" s="3" t="s">
        <v>465</v>
      </c>
      <c r="C57" s="3" t="s">
        <v>394</v>
      </c>
      <c r="D57" s="3" t="s">
        <v>395</v>
      </c>
      <c r="E57" s="3" t="s">
        <v>45</v>
      </c>
      <c r="F57" s="3" t="s">
        <v>45</v>
      </c>
      <c r="G57" s="3" t="s">
        <v>56</v>
      </c>
      <c r="H57" s="3" t="s">
        <v>266</v>
      </c>
      <c r="I57" s="3" t="s">
        <v>32</v>
      </c>
      <c r="J57" s="3" t="s">
        <v>18</v>
      </c>
    </row>
    <row r="58" ht="15.75" customHeight="1">
      <c r="A58" s="3" t="s">
        <v>372</v>
      </c>
      <c r="B58" s="3" t="s">
        <v>364</v>
      </c>
      <c r="C58" s="3" t="s">
        <v>394</v>
      </c>
      <c r="D58" s="3" t="s">
        <v>395</v>
      </c>
      <c r="E58" s="3" t="s">
        <v>442</v>
      </c>
      <c r="F58" s="3" t="s">
        <v>45</v>
      </c>
      <c r="G58" s="3" t="s">
        <v>467</v>
      </c>
      <c r="H58" s="3" t="s">
        <v>406</v>
      </c>
      <c r="I58" s="3"/>
      <c r="J58" s="3" t="s">
        <v>37</v>
      </c>
    </row>
    <row r="59" ht="15.75" customHeight="1">
      <c r="A59" s="3" t="s">
        <v>347</v>
      </c>
      <c r="B59" s="3" t="s">
        <v>472</v>
      </c>
      <c r="C59" s="3" t="s">
        <v>394</v>
      </c>
      <c r="D59" s="3" t="s">
        <v>395</v>
      </c>
      <c r="E59" s="3" t="s">
        <v>58</v>
      </c>
      <c r="F59" s="3" t="s">
        <v>45</v>
      </c>
      <c r="G59" s="3"/>
      <c r="H59" s="3" t="s">
        <v>31</v>
      </c>
      <c r="I59" s="3"/>
      <c r="J59" s="3" t="s">
        <v>21</v>
      </c>
    </row>
    <row r="60" ht="15.75" customHeight="1">
      <c r="A60" s="3" t="s">
        <v>363</v>
      </c>
      <c r="B60" s="3" t="s">
        <v>472</v>
      </c>
      <c r="C60" s="3" t="s">
        <v>394</v>
      </c>
      <c r="D60" s="3" t="s">
        <v>395</v>
      </c>
      <c r="E60" s="3" t="s">
        <v>45</v>
      </c>
      <c r="F60" s="3" t="s">
        <v>45</v>
      </c>
      <c r="G60" s="3" t="s">
        <v>48</v>
      </c>
      <c r="H60" s="3" t="s">
        <v>478</v>
      </c>
      <c r="I60" s="3"/>
      <c r="J60" s="3" t="s">
        <v>21</v>
      </c>
    </row>
    <row r="61" ht="15.75" customHeight="1">
      <c r="A61" s="3" t="s">
        <v>77</v>
      </c>
      <c r="B61" s="3" t="s">
        <v>472</v>
      </c>
      <c r="C61" s="3" t="s">
        <v>394</v>
      </c>
      <c r="D61" s="3" t="s">
        <v>395</v>
      </c>
      <c r="E61" s="3" t="s">
        <v>45</v>
      </c>
      <c r="F61" s="3" t="s">
        <v>45</v>
      </c>
      <c r="G61" s="3" t="s">
        <v>482</v>
      </c>
      <c r="H61" s="3" t="s">
        <v>484</v>
      </c>
      <c r="I61" s="3"/>
      <c r="J61" s="3" t="s">
        <v>37</v>
      </c>
    </row>
    <row r="62" ht="15.75" customHeight="1">
      <c r="A62" s="3" t="s">
        <v>393</v>
      </c>
      <c r="B62" s="3" t="s">
        <v>386</v>
      </c>
      <c r="C62" s="3" t="s">
        <v>394</v>
      </c>
      <c r="D62" s="3" t="s">
        <v>395</v>
      </c>
      <c r="E62" s="3" t="s">
        <v>58</v>
      </c>
      <c r="F62" s="3" t="s">
        <v>45</v>
      </c>
      <c r="G62" s="3"/>
      <c r="H62" s="3" t="s">
        <v>31</v>
      </c>
      <c r="I62" s="3"/>
      <c r="J62" s="3" t="s">
        <v>21</v>
      </c>
    </row>
    <row r="63" ht="15.75" customHeight="1">
      <c r="A63" s="3" t="s">
        <v>59</v>
      </c>
      <c r="B63" s="3" t="s">
        <v>408</v>
      </c>
      <c r="C63" s="3" t="s">
        <v>394</v>
      </c>
      <c r="D63" s="3" t="s">
        <v>395</v>
      </c>
      <c r="E63" s="3" t="s">
        <v>45</v>
      </c>
      <c r="F63" s="3" t="s">
        <v>45</v>
      </c>
      <c r="G63" s="3" t="s">
        <v>48</v>
      </c>
      <c r="H63" s="3" t="s">
        <v>411</v>
      </c>
      <c r="I63" s="3" t="s">
        <v>61</v>
      </c>
      <c r="J63" s="3" t="s">
        <v>37</v>
      </c>
    </row>
    <row r="64" ht="15.75" customHeight="1">
      <c r="A64" s="3" t="s">
        <v>391</v>
      </c>
      <c r="B64" s="3" t="s">
        <v>386</v>
      </c>
      <c r="C64" s="3" t="s">
        <v>394</v>
      </c>
      <c r="D64" s="3" t="s">
        <v>395</v>
      </c>
      <c r="E64" s="3" t="s">
        <v>45</v>
      </c>
      <c r="F64" s="3" t="s">
        <v>45</v>
      </c>
      <c r="G64" s="3" t="s">
        <v>494</v>
      </c>
      <c r="H64" s="3" t="s">
        <v>406</v>
      </c>
      <c r="I64" s="3"/>
      <c r="J64" s="3" t="s">
        <v>18</v>
      </c>
    </row>
    <row r="65" ht="15.75" customHeight="1">
      <c r="A65" s="3" t="s">
        <v>63</v>
      </c>
      <c r="B65" s="3" t="s">
        <v>400</v>
      </c>
      <c r="C65" s="3" t="s">
        <v>394</v>
      </c>
      <c r="D65" s="3" t="s">
        <v>395</v>
      </c>
      <c r="E65" s="3" t="s">
        <v>45</v>
      </c>
      <c r="F65" s="3" t="s">
        <v>45</v>
      </c>
      <c r="G65" s="3" t="s">
        <v>65</v>
      </c>
      <c r="H65" s="3" t="s">
        <v>497</v>
      </c>
      <c r="I65" s="3" t="s">
        <v>64</v>
      </c>
      <c r="J65" s="3" t="s">
        <v>37</v>
      </c>
    </row>
    <row r="66" ht="15.75" customHeight="1">
      <c r="A66" s="3" t="s">
        <v>444</v>
      </c>
      <c r="B66" s="3" t="s">
        <v>499</v>
      </c>
      <c r="C66" s="3" t="s">
        <v>394</v>
      </c>
      <c r="D66" s="3" t="s">
        <v>395</v>
      </c>
      <c r="E66" s="3" t="s">
        <v>45</v>
      </c>
      <c r="F66" s="3" t="s">
        <v>45</v>
      </c>
      <c r="G66" s="3" t="s">
        <v>48</v>
      </c>
      <c r="H66" s="3" t="s">
        <v>289</v>
      </c>
      <c r="I66" s="3"/>
      <c r="J66" s="3" t="s">
        <v>21</v>
      </c>
    </row>
    <row r="67" ht="15.75" customHeight="1">
      <c r="A67" s="3" t="s">
        <v>441</v>
      </c>
      <c r="B67" s="3" t="s">
        <v>499</v>
      </c>
      <c r="C67" s="3" t="s">
        <v>394</v>
      </c>
      <c r="D67" s="3" t="s">
        <v>395</v>
      </c>
      <c r="E67" s="3" t="s">
        <v>45</v>
      </c>
      <c r="F67" s="3" t="s">
        <v>45</v>
      </c>
      <c r="G67" s="3" t="s">
        <v>48</v>
      </c>
      <c r="H67" s="3" t="s">
        <v>289</v>
      </c>
      <c r="I67" s="3"/>
      <c r="J67" s="3" t="s">
        <v>21</v>
      </c>
    </row>
    <row r="68" ht="15.75" customHeight="1">
      <c r="A68" s="3" t="s">
        <v>447</v>
      </c>
      <c r="B68" s="3" t="s">
        <v>499</v>
      </c>
      <c r="C68" s="3" t="s">
        <v>394</v>
      </c>
      <c r="D68" s="3" t="s">
        <v>395</v>
      </c>
      <c r="E68" s="3" t="s">
        <v>45</v>
      </c>
      <c r="F68" s="3" t="s">
        <v>45</v>
      </c>
      <c r="G68" s="3" t="s">
        <v>48</v>
      </c>
      <c r="H68" s="3" t="s">
        <v>289</v>
      </c>
      <c r="I68" s="3"/>
      <c r="J68" s="3" t="s">
        <v>21</v>
      </c>
    </row>
    <row r="69" ht="15.75" customHeight="1">
      <c r="A69" s="3" t="s">
        <v>245</v>
      </c>
      <c r="B69" s="3" t="s">
        <v>507</v>
      </c>
      <c r="C69" s="3" t="s">
        <v>394</v>
      </c>
      <c r="D69" s="3" t="s">
        <v>395</v>
      </c>
      <c r="E69" s="3" t="s">
        <v>45</v>
      </c>
      <c r="F69" s="3" t="s">
        <v>45</v>
      </c>
      <c r="G69" s="3" t="s">
        <v>509</v>
      </c>
      <c r="H69" s="3" t="s">
        <v>289</v>
      </c>
      <c r="I69" s="3"/>
      <c r="J69" s="3" t="s">
        <v>37</v>
      </c>
    </row>
    <row r="70" ht="15.75" customHeight="1">
      <c r="A70" s="3" t="s">
        <v>382</v>
      </c>
      <c r="B70" s="3" t="s">
        <v>465</v>
      </c>
      <c r="C70" s="3" t="s">
        <v>394</v>
      </c>
      <c r="D70" s="3" t="s">
        <v>395</v>
      </c>
      <c r="E70" s="3" t="s">
        <v>45</v>
      </c>
      <c r="F70" s="3" t="s">
        <v>45</v>
      </c>
      <c r="G70" s="3" t="s">
        <v>48</v>
      </c>
      <c r="H70" s="3" t="s">
        <v>289</v>
      </c>
      <c r="I70" s="3"/>
      <c r="J70" s="3" t="s">
        <v>21</v>
      </c>
    </row>
    <row r="71" ht="15.75" customHeight="1">
      <c r="A71" s="3" t="s">
        <v>67</v>
      </c>
      <c r="B71" s="3" t="s">
        <v>499</v>
      </c>
      <c r="C71" s="3" t="s">
        <v>394</v>
      </c>
      <c r="D71" s="3" t="s">
        <v>395</v>
      </c>
      <c r="E71" s="3" t="s">
        <v>45</v>
      </c>
      <c r="F71" s="3" t="s">
        <v>45</v>
      </c>
      <c r="G71" s="3" t="s">
        <v>69</v>
      </c>
      <c r="H71" s="3" t="s">
        <v>516</v>
      </c>
      <c r="I71" s="3" t="s">
        <v>68</v>
      </c>
      <c r="J71" s="3" t="s">
        <v>37</v>
      </c>
    </row>
    <row r="72" ht="15.75" customHeight="1">
      <c r="A72" s="3" t="s">
        <v>70</v>
      </c>
      <c r="B72" s="3" t="s">
        <v>408</v>
      </c>
      <c r="C72" s="3" t="s">
        <v>394</v>
      </c>
      <c r="D72" s="3" t="s">
        <v>395</v>
      </c>
      <c r="E72" s="3" t="s">
        <v>45</v>
      </c>
      <c r="F72" s="3" t="s">
        <v>45</v>
      </c>
      <c r="G72" s="3" t="s">
        <v>48</v>
      </c>
      <c r="H72" s="3" t="s">
        <v>411</v>
      </c>
      <c r="I72" s="3" t="s">
        <v>72</v>
      </c>
      <c r="J72" s="3" t="s">
        <v>21</v>
      </c>
    </row>
    <row r="73" ht="15.75" customHeight="1">
      <c r="A73" s="3" t="s">
        <v>433</v>
      </c>
      <c r="B73" s="3" t="s">
        <v>465</v>
      </c>
      <c r="C73" s="3" t="s">
        <v>394</v>
      </c>
      <c r="D73" s="3" t="s">
        <v>395</v>
      </c>
      <c r="E73" s="3" t="s">
        <v>58</v>
      </c>
      <c r="F73" s="3" t="s">
        <v>45</v>
      </c>
      <c r="G73" s="3"/>
      <c r="H73" s="3" t="s">
        <v>31</v>
      </c>
      <c r="I73" s="3"/>
      <c r="J73" s="3" t="s">
        <v>21</v>
      </c>
    </row>
    <row r="74" ht="15.75" customHeight="1">
      <c r="A74" s="3" t="s">
        <v>431</v>
      </c>
      <c r="B74" s="3" t="s">
        <v>465</v>
      </c>
      <c r="C74" s="3" t="s">
        <v>394</v>
      </c>
      <c r="D74" s="3" t="s">
        <v>395</v>
      </c>
      <c r="E74" s="3" t="s">
        <v>58</v>
      </c>
      <c r="F74" s="3" t="s">
        <v>45</v>
      </c>
      <c r="G74" s="3"/>
      <c r="H74" s="3" t="s">
        <v>31</v>
      </c>
      <c r="I74" s="3"/>
      <c r="J74" s="3" t="s">
        <v>21</v>
      </c>
    </row>
    <row r="75" ht="15.75" customHeight="1">
      <c r="A75" s="3" t="s">
        <v>377</v>
      </c>
      <c r="B75" s="3" t="s">
        <v>364</v>
      </c>
      <c r="C75" s="3" t="s">
        <v>394</v>
      </c>
      <c r="D75" s="3" t="s">
        <v>395</v>
      </c>
      <c r="E75" s="3" t="s">
        <v>45</v>
      </c>
      <c r="F75" s="3" t="s">
        <v>45</v>
      </c>
      <c r="G75" s="3" t="s">
        <v>542</v>
      </c>
      <c r="H75" s="3" t="s">
        <v>403</v>
      </c>
      <c r="I75" s="3"/>
      <c r="J75" s="3" t="s">
        <v>21</v>
      </c>
    </row>
    <row r="76" ht="15.75" customHeight="1">
      <c r="A76" s="3" t="s">
        <v>438</v>
      </c>
      <c r="B76" s="3" t="s">
        <v>465</v>
      </c>
      <c r="C76" s="3" t="s">
        <v>394</v>
      </c>
      <c r="D76" s="3" t="s">
        <v>395</v>
      </c>
      <c r="E76" s="3" t="s">
        <v>45</v>
      </c>
      <c r="F76" s="3" t="s">
        <v>45</v>
      </c>
      <c r="G76" s="3" t="s">
        <v>551</v>
      </c>
      <c r="H76" s="3" t="s">
        <v>553</v>
      </c>
      <c r="I76" s="3"/>
      <c r="J76" s="3" t="s">
        <v>37</v>
      </c>
    </row>
    <row r="77" ht="15.75" customHeight="1">
      <c r="A77" s="3" t="s">
        <v>435</v>
      </c>
      <c r="B77" s="3" t="s">
        <v>465</v>
      </c>
      <c r="C77" s="3" t="s">
        <v>394</v>
      </c>
      <c r="D77" s="3" t="s">
        <v>395</v>
      </c>
      <c r="E77" s="3" t="s">
        <v>58</v>
      </c>
      <c r="F77" s="3" t="s">
        <v>45</v>
      </c>
      <c r="G77" s="3"/>
      <c r="H77" s="3" t="s">
        <v>31</v>
      </c>
      <c r="I77" s="3"/>
      <c r="J77" s="3" t="s">
        <v>21</v>
      </c>
    </row>
    <row r="78" ht="15.75" customHeight="1">
      <c r="A78" s="3" t="s">
        <v>567</v>
      </c>
      <c r="B78" s="3" t="s">
        <v>408</v>
      </c>
      <c r="C78" s="3" t="s">
        <v>394</v>
      </c>
      <c r="D78" s="3" t="s">
        <v>395</v>
      </c>
      <c r="E78" s="3" t="s">
        <v>45</v>
      </c>
      <c r="F78" s="3" t="s">
        <v>45</v>
      </c>
      <c r="G78" s="3" t="s">
        <v>48</v>
      </c>
      <c r="H78" s="3" t="s">
        <v>572</v>
      </c>
      <c r="I78" s="3"/>
      <c r="J78" s="3" t="s">
        <v>21</v>
      </c>
    </row>
    <row r="79" ht="15.75" customHeight="1">
      <c r="A79" s="3" t="s">
        <v>74</v>
      </c>
      <c r="B79" s="3" t="s">
        <v>400</v>
      </c>
      <c r="C79" s="3" t="s">
        <v>394</v>
      </c>
      <c r="D79" s="3" t="s">
        <v>395</v>
      </c>
      <c r="E79" s="3" t="s">
        <v>45</v>
      </c>
      <c r="F79" s="3" t="s">
        <v>45</v>
      </c>
      <c r="G79" s="3" t="s">
        <v>75</v>
      </c>
      <c r="H79" s="3" t="s">
        <v>579</v>
      </c>
      <c r="I79" s="3" t="s">
        <v>43</v>
      </c>
      <c r="J79" s="3" t="s">
        <v>18</v>
      </c>
    </row>
    <row r="80" ht="15.75" customHeight="1">
      <c r="A80" s="3" t="s">
        <v>76</v>
      </c>
      <c r="B80" s="3" t="s">
        <v>472</v>
      </c>
      <c r="C80" s="3" t="s">
        <v>394</v>
      </c>
      <c r="D80" s="3" t="s">
        <v>395</v>
      </c>
      <c r="E80" s="3" t="s">
        <v>45</v>
      </c>
      <c r="F80" s="3" t="s">
        <v>45</v>
      </c>
      <c r="G80" s="3" t="s">
        <v>79</v>
      </c>
      <c r="H80" s="3" t="s">
        <v>266</v>
      </c>
      <c r="I80" s="3" t="s">
        <v>77</v>
      </c>
      <c r="J80" s="3" t="s">
        <v>37</v>
      </c>
    </row>
    <row r="81" ht="15.75" customHeight="1">
      <c r="A81" s="3" t="s">
        <v>82</v>
      </c>
      <c r="B81" s="3" t="s">
        <v>465</v>
      </c>
      <c r="C81" s="3" t="s">
        <v>394</v>
      </c>
      <c r="D81" s="3" t="s">
        <v>395</v>
      </c>
      <c r="E81" s="3" t="s">
        <v>45</v>
      </c>
      <c r="F81" s="3" t="s">
        <v>45</v>
      </c>
      <c r="G81" s="3" t="s">
        <v>84</v>
      </c>
      <c r="H81" s="3" t="s">
        <v>589</v>
      </c>
      <c r="I81" s="3" t="s">
        <v>83</v>
      </c>
      <c r="J81" s="3" t="s">
        <v>37</v>
      </c>
    </row>
    <row r="82" ht="15.75" customHeight="1">
      <c r="A82" s="3" t="s">
        <v>592</v>
      </c>
      <c r="B82" s="3" t="s">
        <v>408</v>
      </c>
      <c r="C82" s="3" t="s">
        <v>394</v>
      </c>
      <c r="D82" s="3" t="s">
        <v>395</v>
      </c>
      <c r="E82" s="3" t="s">
        <v>45</v>
      </c>
      <c r="F82" s="3" t="s">
        <v>45</v>
      </c>
      <c r="G82" s="3" t="s">
        <v>596</v>
      </c>
      <c r="H82" s="3" t="s">
        <v>597</v>
      </c>
      <c r="I82" s="3"/>
      <c r="J82" s="3" t="s">
        <v>21</v>
      </c>
    </row>
    <row r="83" ht="15.75" customHeight="1">
      <c r="A83" s="3" t="s">
        <v>421</v>
      </c>
      <c r="B83" s="3" t="s">
        <v>415</v>
      </c>
      <c r="C83" s="3" t="s">
        <v>394</v>
      </c>
      <c r="D83" s="3" t="s">
        <v>395</v>
      </c>
      <c r="E83" s="3" t="s">
        <v>602</v>
      </c>
      <c r="F83" s="3" t="s">
        <v>45</v>
      </c>
      <c r="G83" s="3" t="s">
        <v>603</v>
      </c>
      <c r="H83" s="3" t="s">
        <v>605</v>
      </c>
      <c r="I83" s="3"/>
      <c r="J83" s="3" t="s">
        <v>37</v>
      </c>
    </row>
    <row r="84" ht="15.75" customHeight="1">
      <c r="A84" s="3" t="s">
        <v>455</v>
      </c>
      <c r="B84" s="3" t="s">
        <v>608</v>
      </c>
      <c r="C84" s="3" t="s">
        <v>394</v>
      </c>
      <c r="D84" s="3" t="s">
        <v>395</v>
      </c>
      <c r="E84" s="3" t="s">
        <v>45</v>
      </c>
      <c r="F84" s="3" t="s">
        <v>45</v>
      </c>
      <c r="G84" s="3" t="s">
        <v>610</v>
      </c>
      <c r="H84" s="3" t="s">
        <v>611</v>
      </c>
      <c r="I84" s="3"/>
      <c r="J84" s="3" t="s">
        <v>18</v>
      </c>
    </row>
    <row r="85" ht="15.75" customHeight="1">
      <c r="A85" s="3" t="s">
        <v>341</v>
      </c>
      <c r="B85" s="3" t="s">
        <v>472</v>
      </c>
      <c r="C85" s="3" t="s">
        <v>394</v>
      </c>
      <c r="D85" s="3" t="s">
        <v>395</v>
      </c>
      <c r="E85" s="3" t="s">
        <v>58</v>
      </c>
      <c r="F85" s="3" t="s">
        <v>45</v>
      </c>
      <c r="G85" s="3"/>
      <c r="H85" s="3" t="s">
        <v>31</v>
      </c>
      <c r="I85" s="3"/>
      <c r="J85" s="3" t="s">
        <v>21</v>
      </c>
    </row>
    <row r="86" ht="15.75" customHeight="1">
      <c r="A86" s="3" t="s">
        <v>85</v>
      </c>
      <c r="B86" s="3" t="s">
        <v>279</v>
      </c>
      <c r="C86" s="3" t="s">
        <v>394</v>
      </c>
      <c r="D86" s="3" t="s">
        <v>395</v>
      </c>
      <c r="E86" s="3" t="s">
        <v>58</v>
      </c>
      <c r="F86" s="3" t="s">
        <v>45</v>
      </c>
      <c r="G86" s="3" t="s">
        <v>87</v>
      </c>
      <c r="H86" s="3" t="s">
        <v>620</v>
      </c>
      <c r="I86" s="3" t="s">
        <v>86</v>
      </c>
      <c r="J86" s="3" t="s">
        <v>21</v>
      </c>
    </row>
    <row r="87" ht="15.75" customHeight="1">
      <c r="A87" s="3" t="s">
        <v>88</v>
      </c>
      <c r="B87" s="3" t="s">
        <v>279</v>
      </c>
      <c r="C87" s="3" t="s">
        <v>394</v>
      </c>
      <c r="D87" s="3" t="s">
        <v>395</v>
      </c>
      <c r="E87" s="3" t="s">
        <v>58</v>
      </c>
      <c r="F87" s="3" t="s">
        <v>45</v>
      </c>
      <c r="G87" s="3" t="s">
        <v>87</v>
      </c>
      <c r="H87" s="3" t="s">
        <v>620</v>
      </c>
      <c r="I87" s="3" t="s">
        <v>89</v>
      </c>
      <c r="J87" s="3" t="s">
        <v>21</v>
      </c>
    </row>
    <row r="88" ht="15.75" customHeight="1">
      <c r="A88" s="3" t="s">
        <v>90</v>
      </c>
      <c r="B88" s="3" t="s">
        <v>279</v>
      </c>
      <c r="C88" s="3" t="s">
        <v>394</v>
      </c>
      <c r="D88" s="3" t="s">
        <v>395</v>
      </c>
      <c r="E88" s="3" t="s">
        <v>442</v>
      </c>
      <c r="F88" s="3" t="s">
        <v>45</v>
      </c>
      <c r="G88" s="3" t="s">
        <v>93</v>
      </c>
      <c r="H88" s="3" t="s">
        <v>625</v>
      </c>
      <c r="I88" s="3" t="s">
        <v>92</v>
      </c>
      <c r="J88" s="3" t="s">
        <v>37</v>
      </c>
    </row>
    <row r="89" ht="15.75" customHeight="1">
      <c r="A89" s="3" t="s">
        <v>315</v>
      </c>
      <c r="B89" s="3" t="s">
        <v>279</v>
      </c>
      <c r="C89" s="3" t="s">
        <v>394</v>
      </c>
      <c r="D89" s="3" t="s">
        <v>395</v>
      </c>
      <c r="E89" s="3" t="s">
        <v>58</v>
      </c>
      <c r="F89" s="3" t="s">
        <v>45</v>
      </c>
      <c r="G89" s="3"/>
      <c r="H89" s="3" t="s">
        <v>31</v>
      </c>
      <c r="I89" s="3"/>
      <c r="J89" s="3" t="s">
        <v>21</v>
      </c>
    </row>
    <row r="90" ht="15.75" customHeight="1">
      <c r="A90" s="3" t="s">
        <v>311</v>
      </c>
      <c r="B90" s="3" t="s">
        <v>279</v>
      </c>
      <c r="C90" s="3" t="s">
        <v>394</v>
      </c>
      <c r="D90" s="3" t="s">
        <v>395</v>
      </c>
      <c r="E90" s="3" t="s">
        <v>45</v>
      </c>
      <c r="F90" s="3" t="s">
        <v>45</v>
      </c>
      <c r="G90" s="3" t="s">
        <v>48</v>
      </c>
      <c r="H90" s="3" t="s">
        <v>399</v>
      </c>
      <c r="I90" s="3"/>
      <c r="J90" s="3" t="s">
        <v>21</v>
      </c>
    </row>
    <row r="91" ht="15.75" customHeight="1">
      <c r="A91" s="3" t="s">
        <v>426</v>
      </c>
      <c r="B91" s="3" t="s">
        <v>415</v>
      </c>
      <c r="C91" s="3" t="s">
        <v>394</v>
      </c>
      <c r="D91" s="3" t="s">
        <v>395</v>
      </c>
      <c r="E91" s="3" t="s">
        <v>45</v>
      </c>
      <c r="F91" s="3" t="s">
        <v>45</v>
      </c>
      <c r="G91" s="3" t="s">
        <v>48</v>
      </c>
      <c r="H91" s="3" t="s">
        <v>633</v>
      </c>
      <c r="I91" s="3"/>
      <c r="J91" s="3" t="s">
        <v>21</v>
      </c>
    </row>
    <row r="92" ht="15.75" customHeight="1">
      <c r="A92" s="3" t="s">
        <v>452</v>
      </c>
      <c r="B92" s="3" t="s">
        <v>608</v>
      </c>
      <c r="C92" s="3" t="s">
        <v>394</v>
      </c>
      <c r="D92" s="3" t="s">
        <v>395</v>
      </c>
      <c r="E92" s="3" t="s">
        <v>634</v>
      </c>
      <c r="F92" s="3" t="s">
        <v>45</v>
      </c>
      <c r="G92" s="3" t="s">
        <v>635</v>
      </c>
      <c r="H92" s="3" t="s">
        <v>636</v>
      </c>
      <c r="I92" s="3"/>
      <c r="J92" s="3" t="s">
        <v>37</v>
      </c>
    </row>
    <row r="93" ht="15.75" customHeight="1">
      <c r="A93" s="3" t="s">
        <v>329</v>
      </c>
      <c r="B93" s="3" t="s">
        <v>472</v>
      </c>
      <c r="C93" s="3" t="s">
        <v>394</v>
      </c>
      <c r="D93" s="3" t="s">
        <v>395</v>
      </c>
      <c r="E93" s="3" t="s">
        <v>58</v>
      </c>
      <c r="F93" s="3" t="s">
        <v>45</v>
      </c>
      <c r="G93" s="3"/>
      <c r="H93" s="3" t="s">
        <v>31</v>
      </c>
      <c r="I93" s="3"/>
      <c r="J93" s="3" t="s">
        <v>21</v>
      </c>
    </row>
    <row r="94" ht="15.75" customHeight="1">
      <c r="A94" s="3" t="s">
        <v>470</v>
      </c>
      <c r="B94" s="3" t="s">
        <v>408</v>
      </c>
      <c r="C94" s="3" t="s">
        <v>394</v>
      </c>
      <c r="D94" s="3" t="s">
        <v>395</v>
      </c>
      <c r="E94" s="3" t="s">
        <v>45</v>
      </c>
      <c r="F94" s="3" t="s">
        <v>45</v>
      </c>
      <c r="G94" s="3" t="s">
        <v>596</v>
      </c>
      <c r="H94" s="3" t="s">
        <v>637</v>
      </c>
      <c r="I94" s="3"/>
      <c r="J94" s="3" t="s">
        <v>21</v>
      </c>
    </row>
    <row r="95" ht="15.75" customHeight="1">
      <c r="A95" s="3" t="s">
        <v>96</v>
      </c>
      <c r="B95" s="3" t="s">
        <v>386</v>
      </c>
      <c r="C95" s="3" t="s">
        <v>394</v>
      </c>
      <c r="D95" s="3" t="s">
        <v>395</v>
      </c>
      <c r="E95" s="3" t="s">
        <v>45</v>
      </c>
      <c r="F95" s="3" t="s">
        <v>45</v>
      </c>
      <c r="G95" s="3" t="s">
        <v>99</v>
      </c>
      <c r="H95" s="3" t="s">
        <v>266</v>
      </c>
      <c r="I95" s="3" t="s">
        <v>97</v>
      </c>
      <c r="J95" s="3" t="s">
        <v>18</v>
      </c>
    </row>
    <row r="96" ht="15.75" customHeight="1">
      <c r="A96" s="3" t="s">
        <v>101</v>
      </c>
      <c r="B96" s="3" t="s">
        <v>279</v>
      </c>
      <c r="C96" s="3" t="s">
        <v>394</v>
      </c>
      <c r="D96" s="3" t="s">
        <v>395</v>
      </c>
      <c r="E96" s="3" t="s">
        <v>45</v>
      </c>
      <c r="F96" s="3" t="s">
        <v>45</v>
      </c>
      <c r="G96" s="3" t="s">
        <v>104</v>
      </c>
      <c r="H96" s="3" t="s">
        <v>266</v>
      </c>
      <c r="I96" s="3" t="s">
        <v>103</v>
      </c>
      <c r="J96" s="3" t="s">
        <v>18</v>
      </c>
    </row>
    <row r="97" ht="15.75" customHeight="1">
      <c r="A97" s="3" t="s">
        <v>106</v>
      </c>
      <c r="B97" s="3" t="s">
        <v>279</v>
      </c>
      <c r="C97" s="3" t="s">
        <v>394</v>
      </c>
      <c r="D97" s="3" t="s">
        <v>395</v>
      </c>
      <c r="E97" s="3" t="s">
        <v>45</v>
      </c>
      <c r="F97" s="3" t="s">
        <v>45</v>
      </c>
      <c r="G97" s="3" t="s">
        <v>109</v>
      </c>
      <c r="H97" s="3" t="s">
        <v>266</v>
      </c>
      <c r="I97" s="3" t="s">
        <v>108</v>
      </c>
      <c r="J97" s="3" t="s">
        <v>18</v>
      </c>
    </row>
    <row r="98" ht="15.75" customHeight="1">
      <c r="A98" s="3" t="s">
        <v>32</v>
      </c>
      <c r="B98" s="3" t="s">
        <v>507</v>
      </c>
      <c r="C98" s="3" t="s">
        <v>394</v>
      </c>
      <c r="D98" s="3" t="s">
        <v>395</v>
      </c>
      <c r="E98" s="3" t="s">
        <v>442</v>
      </c>
      <c r="F98" s="3" t="s">
        <v>45</v>
      </c>
      <c r="G98" s="3" t="s">
        <v>638</v>
      </c>
      <c r="H98" s="3" t="s">
        <v>639</v>
      </c>
      <c r="I98" s="3"/>
      <c r="J98" s="3" t="s">
        <v>37</v>
      </c>
    </row>
    <row r="99" ht="15.75" customHeight="1">
      <c r="A99" s="3" t="s">
        <v>108</v>
      </c>
      <c r="B99" s="3" t="s">
        <v>279</v>
      </c>
      <c r="C99" s="3" t="s">
        <v>394</v>
      </c>
      <c r="D99" s="3" t="s">
        <v>380</v>
      </c>
      <c r="E99" s="3" t="s">
        <v>58</v>
      </c>
      <c r="F99" s="3" t="s">
        <v>45</v>
      </c>
      <c r="G99" s="3" t="s">
        <v>640</v>
      </c>
      <c r="H99" s="3" t="s">
        <v>641</v>
      </c>
      <c r="I99" s="3" t="s">
        <v>16</v>
      </c>
      <c r="J99" s="3" t="s">
        <v>18</v>
      </c>
    </row>
    <row r="100" ht="15.75" customHeight="1">
      <c r="A100" s="3" t="s">
        <v>103</v>
      </c>
      <c r="B100" s="3" t="s">
        <v>279</v>
      </c>
      <c r="C100" s="3" t="s">
        <v>394</v>
      </c>
      <c r="D100" s="3" t="s">
        <v>380</v>
      </c>
      <c r="E100" s="3" t="s">
        <v>58</v>
      </c>
      <c r="F100" s="3" t="s">
        <v>45</v>
      </c>
      <c r="G100" s="3" t="s">
        <v>642</v>
      </c>
      <c r="H100" s="3" t="s">
        <v>641</v>
      </c>
      <c r="I100" s="3" t="s">
        <v>16</v>
      </c>
      <c r="J100" s="3" t="s">
        <v>18</v>
      </c>
    </row>
    <row r="101" ht="15.75" customHeight="1">
      <c r="A101" s="3" t="s">
        <v>524</v>
      </c>
      <c r="B101" s="3" t="s">
        <v>643</v>
      </c>
      <c r="C101" s="3" t="s">
        <v>644</v>
      </c>
      <c r="D101" s="3" t="s">
        <v>645</v>
      </c>
      <c r="E101" s="3" t="s">
        <v>45</v>
      </c>
      <c r="F101" s="3" t="s">
        <v>58</v>
      </c>
      <c r="G101" s="3" t="s">
        <v>646</v>
      </c>
      <c r="H101" s="3" t="s">
        <v>647</v>
      </c>
      <c r="I101" s="3" t="s">
        <v>16</v>
      </c>
      <c r="J101" s="3" t="s">
        <v>21</v>
      </c>
    </row>
    <row r="102" ht="15.75" customHeight="1">
      <c r="A102" s="3" t="s">
        <v>520</v>
      </c>
      <c r="B102" s="3" t="s">
        <v>643</v>
      </c>
      <c r="C102" s="3" t="s">
        <v>644</v>
      </c>
      <c r="D102" s="3" t="s">
        <v>645</v>
      </c>
      <c r="E102" s="3" t="s">
        <v>45</v>
      </c>
      <c r="F102" s="3" t="s">
        <v>58</v>
      </c>
      <c r="G102" s="3" t="s">
        <v>646</v>
      </c>
      <c r="H102" s="3" t="s">
        <v>647</v>
      </c>
      <c r="I102" s="3" t="s">
        <v>16</v>
      </c>
      <c r="J102" s="3" t="s">
        <v>21</v>
      </c>
    </row>
    <row r="103" ht="15.75" customHeight="1">
      <c r="A103" s="3" t="s">
        <v>515</v>
      </c>
      <c r="B103" s="3" t="s">
        <v>643</v>
      </c>
      <c r="C103" s="3" t="s">
        <v>644</v>
      </c>
      <c r="D103" s="3" t="s">
        <v>645</v>
      </c>
      <c r="E103" s="3" t="s">
        <v>45</v>
      </c>
      <c r="F103" s="3" t="s">
        <v>58</v>
      </c>
      <c r="G103" s="3" t="s">
        <v>646</v>
      </c>
      <c r="H103" s="3" t="s">
        <v>647</v>
      </c>
      <c r="I103" s="3" t="s">
        <v>16</v>
      </c>
      <c r="J103" s="3" t="s">
        <v>21</v>
      </c>
    </row>
    <row r="104" ht="15.75" customHeight="1">
      <c r="A104" s="3" t="s">
        <v>526</v>
      </c>
      <c r="B104" s="3" t="s">
        <v>643</v>
      </c>
      <c r="C104" s="3" t="s">
        <v>644</v>
      </c>
      <c r="D104" s="3" t="s">
        <v>645</v>
      </c>
      <c r="E104" s="3" t="s">
        <v>45</v>
      </c>
      <c r="F104" s="3" t="s">
        <v>58</v>
      </c>
      <c r="G104" s="3" t="s">
        <v>646</v>
      </c>
      <c r="H104" s="3" t="s">
        <v>647</v>
      </c>
      <c r="I104" s="3" t="s">
        <v>16</v>
      </c>
      <c r="J104" s="3" t="s">
        <v>21</v>
      </c>
    </row>
    <row r="105" ht="15.75" customHeight="1">
      <c r="A105" s="3" t="s">
        <v>528</v>
      </c>
      <c r="B105" s="3" t="s">
        <v>643</v>
      </c>
      <c r="C105" s="3" t="s">
        <v>644</v>
      </c>
      <c r="D105" s="3" t="s">
        <v>645</v>
      </c>
      <c r="E105" s="3" t="s">
        <v>45</v>
      </c>
      <c r="F105" s="3" t="s">
        <v>58</v>
      </c>
      <c r="G105" s="3" t="s">
        <v>646</v>
      </c>
      <c r="H105" s="3" t="s">
        <v>647</v>
      </c>
      <c r="I105" s="3" t="s">
        <v>16</v>
      </c>
      <c r="J105" s="3" t="s">
        <v>21</v>
      </c>
    </row>
    <row r="106" ht="15.75" customHeight="1">
      <c r="A106" s="3" t="s">
        <v>518</v>
      </c>
      <c r="B106" s="3" t="s">
        <v>643</v>
      </c>
      <c r="C106" s="3" t="s">
        <v>644</v>
      </c>
      <c r="D106" s="3" t="s">
        <v>645</v>
      </c>
      <c r="E106" s="3" t="s">
        <v>45</v>
      </c>
      <c r="F106" s="3" t="s">
        <v>58</v>
      </c>
      <c r="G106" s="3" t="s">
        <v>646</v>
      </c>
      <c r="H106" s="3" t="s">
        <v>647</v>
      </c>
      <c r="I106" s="3" t="s">
        <v>16</v>
      </c>
      <c r="J106" s="3" t="s">
        <v>21</v>
      </c>
    </row>
    <row r="107" ht="15.75" customHeight="1">
      <c r="A107" s="3" t="s">
        <v>522</v>
      </c>
      <c r="B107" s="3" t="s">
        <v>643</v>
      </c>
      <c r="C107" s="3" t="s">
        <v>644</v>
      </c>
      <c r="D107" s="3" t="s">
        <v>645</v>
      </c>
      <c r="E107" s="3" t="s">
        <v>45</v>
      </c>
      <c r="F107" s="3" t="s">
        <v>58</v>
      </c>
      <c r="G107" s="3" t="s">
        <v>646</v>
      </c>
      <c r="H107" s="3" t="s">
        <v>647</v>
      </c>
      <c r="I107" s="3" t="s">
        <v>16</v>
      </c>
      <c r="J107" s="3" t="s">
        <v>21</v>
      </c>
    </row>
    <row r="108" ht="15.75" customHeight="1">
      <c r="A108" s="3" t="s">
        <v>536</v>
      </c>
      <c r="B108" s="3" t="s">
        <v>643</v>
      </c>
      <c r="C108" s="3" t="s">
        <v>648</v>
      </c>
      <c r="D108" s="3" t="s">
        <v>645</v>
      </c>
      <c r="E108" s="3" t="s">
        <v>45</v>
      </c>
      <c r="F108" s="3" t="s">
        <v>58</v>
      </c>
      <c r="G108" s="3" t="s">
        <v>646</v>
      </c>
      <c r="H108" s="3" t="s">
        <v>647</v>
      </c>
      <c r="I108" s="3" t="s">
        <v>16</v>
      </c>
      <c r="J108" s="3" t="s">
        <v>21</v>
      </c>
    </row>
    <row r="109" ht="15.75" customHeight="1">
      <c r="A109" s="3" t="s">
        <v>532</v>
      </c>
      <c r="B109" s="3" t="s">
        <v>643</v>
      </c>
      <c r="C109" s="3" t="s">
        <v>648</v>
      </c>
      <c r="D109" s="3" t="s">
        <v>645</v>
      </c>
      <c r="E109" s="3" t="s">
        <v>45</v>
      </c>
      <c r="F109" s="3" t="s">
        <v>58</v>
      </c>
      <c r="G109" s="3" t="s">
        <v>646</v>
      </c>
      <c r="H109" s="3" t="s">
        <v>647</v>
      </c>
      <c r="I109" s="3" t="s">
        <v>16</v>
      </c>
      <c r="J109" s="3" t="s">
        <v>21</v>
      </c>
    </row>
    <row r="110" ht="15.75" customHeight="1">
      <c r="A110" s="3" t="s">
        <v>530</v>
      </c>
      <c r="B110" s="3" t="s">
        <v>643</v>
      </c>
      <c r="C110" s="3" t="s">
        <v>648</v>
      </c>
      <c r="D110" s="3" t="s">
        <v>645</v>
      </c>
      <c r="E110" s="3" t="s">
        <v>45</v>
      </c>
      <c r="F110" s="3" t="s">
        <v>58</v>
      </c>
      <c r="G110" s="3" t="s">
        <v>646</v>
      </c>
      <c r="H110" s="3" t="s">
        <v>647</v>
      </c>
      <c r="I110" s="3" t="s">
        <v>16</v>
      </c>
      <c r="J110" s="3" t="s">
        <v>21</v>
      </c>
    </row>
    <row r="111" ht="15.75" customHeight="1">
      <c r="A111" s="3" t="s">
        <v>534</v>
      </c>
      <c r="B111" s="3" t="s">
        <v>643</v>
      </c>
      <c r="C111" s="3" t="s">
        <v>648</v>
      </c>
      <c r="D111" s="3" t="s">
        <v>645</v>
      </c>
      <c r="E111" s="3" t="s">
        <v>45</v>
      </c>
      <c r="F111" s="3" t="s">
        <v>58</v>
      </c>
      <c r="G111" s="3" t="s">
        <v>646</v>
      </c>
      <c r="H111" s="3" t="s">
        <v>647</v>
      </c>
      <c r="I111" s="3" t="s">
        <v>16</v>
      </c>
      <c r="J111" s="3" t="s">
        <v>21</v>
      </c>
    </row>
    <row r="112" ht="15.75" customHeight="1">
      <c r="A112" s="3" t="s">
        <v>111</v>
      </c>
      <c r="B112" s="3" t="s">
        <v>566</v>
      </c>
      <c r="C112" s="3" t="s">
        <v>649</v>
      </c>
      <c r="D112" s="3" t="s">
        <v>139</v>
      </c>
      <c r="E112" s="3" t="s">
        <v>45</v>
      </c>
      <c r="F112" s="3" t="s">
        <v>45</v>
      </c>
      <c r="G112" s="3" t="s">
        <v>112</v>
      </c>
      <c r="H112" s="3" t="s">
        <v>650</v>
      </c>
      <c r="I112" s="3" t="s">
        <v>16</v>
      </c>
      <c r="J112" s="3" t="s">
        <v>21</v>
      </c>
    </row>
    <row r="113" ht="15.75" customHeight="1">
      <c r="A113" s="3" t="s">
        <v>114</v>
      </c>
      <c r="B113" s="3" t="s">
        <v>566</v>
      </c>
      <c r="C113" s="3" t="s">
        <v>651</v>
      </c>
      <c r="D113" s="3" t="s">
        <v>139</v>
      </c>
      <c r="E113" s="3" t="s">
        <v>45</v>
      </c>
      <c r="F113" s="3" t="s">
        <v>45</v>
      </c>
      <c r="G113" s="3" t="s">
        <v>117</v>
      </c>
      <c r="H113" s="3" t="s">
        <v>652</v>
      </c>
      <c r="I113" s="3" t="s">
        <v>116</v>
      </c>
      <c r="J113" s="3" t="s">
        <v>37</v>
      </c>
    </row>
    <row r="114" ht="15.75" customHeight="1">
      <c r="A114" s="3" t="s">
        <v>120</v>
      </c>
      <c r="B114" s="3" t="s">
        <v>566</v>
      </c>
      <c r="C114" s="3" t="s">
        <v>651</v>
      </c>
      <c r="D114" s="3" t="s">
        <v>139</v>
      </c>
      <c r="E114" s="3" t="s">
        <v>45</v>
      </c>
      <c r="F114" s="3" t="s">
        <v>45</v>
      </c>
      <c r="G114" s="3" t="s">
        <v>117</v>
      </c>
      <c r="H114" s="3" t="s">
        <v>652</v>
      </c>
      <c r="I114" s="3" t="s">
        <v>121</v>
      </c>
      <c r="J114" s="3" t="s">
        <v>37</v>
      </c>
    </row>
    <row r="115" ht="15.75" customHeight="1">
      <c r="A115" s="3" t="s">
        <v>653</v>
      </c>
      <c r="B115" s="3" t="s">
        <v>566</v>
      </c>
      <c r="C115" s="3" t="s">
        <v>651</v>
      </c>
      <c r="D115" s="3" t="s">
        <v>139</v>
      </c>
      <c r="E115" s="3" t="s">
        <v>45</v>
      </c>
      <c r="F115" s="3" t="s">
        <v>45</v>
      </c>
      <c r="G115" s="3"/>
      <c r="H115" s="3" t="s">
        <v>654</v>
      </c>
      <c r="I115" s="3" t="s">
        <v>16</v>
      </c>
      <c r="J115" s="3" t="s">
        <v>21</v>
      </c>
    </row>
    <row r="116" ht="15.75" customHeight="1">
      <c r="A116" s="3" t="s">
        <v>123</v>
      </c>
      <c r="B116" s="3" t="s">
        <v>566</v>
      </c>
      <c r="C116" s="3" t="s">
        <v>651</v>
      </c>
      <c r="D116" s="3" t="s">
        <v>139</v>
      </c>
      <c r="E116" s="3" t="s">
        <v>45</v>
      </c>
      <c r="F116" s="3" t="s">
        <v>45</v>
      </c>
      <c r="G116" s="3" t="s">
        <v>117</v>
      </c>
      <c r="H116" s="3" t="s">
        <v>652</v>
      </c>
      <c r="I116" s="3" t="s">
        <v>124</v>
      </c>
      <c r="J116" s="3" t="s">
        <v>37</v>
      </c>
    </row>
    <row r="117" ht="15.75" customHeight="1">
      <c r="A117" s="3" t="s">
        <v>126</v>
      </c>
      <c r="B117" s="3" t="s">
        <v>566</v>
      </c>
      <c r="C117" s="3" t="s">
        <v>651</v>
      </c>
      <c r="D117" s="3" t="s">
        <v>139</v>
      </c>
      <c r="E117" s="3" t="s">
        <v>45</v>
      </c>
      <c r="F117" s="3" t="s">
        <v>45</v>
      </c>
      <c r="G117" s="3" t="s">
        <v>117</v>
      </c>
      <c r="H117" s="3" t="s">
        <v>652</v>
      </c>
      <c r="I117" s="3" t="s">
        <v>127</v>
      </c>
      <c r="J117" s="3" t="s">
        <v>37</v>
      </c>
    </row>
    <row r="118" ht="15.75" customHeight="1">
      <c r="A118" s="3" t="s">
        <v>121</v>
      </c>
      <c r="B118" s="3" t="s">
        <v>566</v>
      </c>
      <c r="C118" s="3" t="s">
        <v>651</v>
      </c>
      <c r="D118" s="3" t="s">
        <v>139</v>
      </c>
      <c r="E118" s="3" t="s">
        <v>45</v>
      </c>
      <c r="F118" s="3" t="s">
        <v>45</v>
      </c>
      <c r="G118" s="3"/>
      <c r="H118" s="3" t="s">
        <v>654</v>
      </c>
      <c r="I118" s="3" t="s">
        <v>16</v>
      </c>
      <c r="J118" s="3" t="s">
        <v>21</v>
      </c>
    </row>
    <row r="119" ht="15.75" customHeight="1">
      <c r="A119" s="3" t="s">
        <v>130</v>
      </c>
      <c r="B119" s="3" t="s">
        <v>566</v>
      </c>
      <c r="C119" s="3" t="s">
        <v>655</v>
      </c>
      <c r="D119" s="3" t="s">
        <v>139</v>
      </c>
      <c r="E119" s="3" t="s">
        <v>45</v>
      </c>
      <c r="F119" s="3" t="s">
        <v>45</v>
      </c>
      <c r="G119" s="3" t="s">
        <v>132</v>
      </c>
      <c r="H119" s="3" t="s">
        <v>656</v>
      </c>
      <c r="I119" s="3" t="s">
        <v>110</v>
      </c>
      <c r="J119" s="3" t="s">
        <v>37</v>
      </c>
    </row>
    <row r="120" ht="15.75" customHeight="1">
      <c r="A120" s="3" t="s">
        <v>657</v>
      </c>
      <c r="B120" s="3" t="s">
        <v>566</v>
      </c>
      <c r="C120" s="3" t="s">
        <v>651</v>
      </c>
      <c r="D120" s="3" t="s">
        <v>139</v>
      </c>
      <c r="E120" s="3" t="s">
        <v>45</v>
      </c>
      <c r="F120" s="3" t="s">
        <v>45</v>
      </c>
      <c r="G120" s="3"/>
      <c r="H120" s="3" t="s">
        <v>654</v>
      </c>
      <c r="I120" s="3" t="s">
        <v>16</v>
      </c>
      <c r="J120" s="3" t="s">
        <v>21</v>
      </c>
    </row>
    <row r="121" ht="15.75" customHeight="1">
      <c r="A121" s="3" t="s">
        <v>658</v>
      </c>
      <c r="B121" s="3" t="s">
        <v>566</v>
      </c>
      <c r="C121" s="3" t="s">
        <v>651</v>
      </c>
      <c r="D121" s="3" t="s">
        <v>139</v>
      </c>
      <c r="E121" s="3" t="s">
        <v>45</v>
      </c>
      <c r="F121" s="3" t="s">
        <v>45</v>
      </c>
      <c r="G121" s="3"/>
      <c r="H121" s="3" t="s">
        <v>654</v>
      </c>
      <c r="I121" s="3" t="s">
        <v>16</v>
      </c>
      <c r="J121" s="3" t="s">
        <v>21</v>
      </c>
    </row>
    <row r="122" ht="15.75" customHeight="1">
      <c r="A122" s="3" t="s">
        <v>134</v>
      </c>
      <c r="B122" s="3" t="s">
        <v>566</v>
      </c>
      <c r="C122" s="3" t="s">
        <v>649</v>
      </c>
      <c r="D122" s="3" t="s">
        <v>139</v>
      </c>
      <c r="E122" s="3" t="s">
        <v>45</v>
      </c>
      <c r="F122" s="3" t="s">
        <v>45</v>
      </c>
      <c r="G122" s="3" t="s">
        <v>112</v>
      </c>
      <c r="H122" s="3" t="s">
        <v>650</v>
      </c>
      <c r="I122" s="3" t="s">
        <v>16</v>
      </c>
      <c r="J122" s="3" t="s">
        <v>21</v>
      </c>
    </row>
    <row r="123" ht="15.75" customHeight="1">
      <c r="A123" s="3" t="s">
        <v>136</v>
      </c>
      <c r="B123" s="3" t="s">
        <v>566</v>
      </c>
      <c r="C123" s="3" t="s">
        <v>655</v>
      </c>
      <c r="D123" s="3" t="s">
        <v>139</v>
      </c>
      <c r="E123" s="3" t="s">
        <v>45</v>
      </c>
      <c r="F123" s="3" t="s">
        <v>45</v>
      </c>
      <c r="G123" s="3" t="s">
        <v>132</v>
      </c>
      <c r="H123" s="3" t="s">
        <v>656</v>
      </c>
      <c r="I123" s="3" t="s">
        <v>110</v>
      </c>
      <c r="J123" s="3" t="s">
        <v>37</v>
      </c>
    </row>
    <row r="124" ht="15.75" customHeight="1">
      <c r="A124" s="3" t="s">
        <v>659</v>
      </c>
      <c r="B124" s="3" t="s">
        <v>566</v>
      </c>
      <c r="C124" s="3" t="s">
        <v>651</v>
      </c>
      <c r="D124" s="3" t="s">
        <v>139</v>
      </c>
      <c r="E124" s="3" t="s">
        <v>45</v>
      </c>
      <c r="F124" s="3" t="s">
        <v>45</v>
      </c>
      <c r="G124" s="3"/>
      <c r="H124" s="3" t="s">
        <v>654</v>
      </c>
      <c r="I124" s="3" t="s">
        <v>16</v>
      </c>
      <c r="J124" s="3" t="s">
        <v>21</v>
      </c>
    </row>
    <row r="125" ht="15.75" customHeight="1">
      <c r="A125" s="3" t="s">
        <v>138</v>
      </c>
      <c r="B125" s="3" t="s">
        <v>566</v>
      </c>
      <c r="C125" s="3" t="s">
        <v>655</v>
      </c>
      <c r="D125" s="3" t="s">
        <v>139</v>
      </c>
      <c r="E125" s="3" t="s">
        <v>45</v>
      </c>
      <c r="F125" s="3" t="s">
        <v>45</v>
      </c>
      <c r="G125" s="3" t="s">
        <v>132</v>
      </c>
      <c r="H125" s="3" t="s">
        <v>656</v>
      </c>
      <c r="I125" s="3" t="s">
        <v>110</v>
      </c>
      <c r="J125" s="3" t="s">
        <v>37</v>
      </c>
    </row>
    <row r="126" ht="15.75" customHeight="1">
      <c r="A126" s="3" t="s">
        <v>660</v>
      </c>
      <c r="B126" s="3" t="s">
        <v>566</v>
      </c>
      <c r="C126" s="3" t="s">
        <v>651</v>
      </c>
      <c r="D126" s="3" t="s">
        <v>139</v>
      </c>
      <c r="E126" s="3" t="s">
        <v>45</v>
      </c>
      <c r="F126" s="3" t="s">
        <v>45</v>
      </c>
      <c r="G126" s="3"/>
      <c r="H126" s="3" t="s">
        <v>654</v>
      </c>
      <c r="I126" s="3" t="s">
        <v>16</v>
      </c>
      <c r="J126" s="3" t="s">
        <v>21</v>
      </c>
    </row>
    <row r="127" ht="15.75" customHeight="1">
      <c r="A127" s="3" t="s">
        <v>143</v>
      </c>
      <c r="B127" s="3" t="s">
        <v>566</v>
      </c>
      <c r="C127" s="3" t="s">
        <v>655</v>
      </c>
      <c r="D127" s="3" t="s">
        <v>139</v>
      </c>
      <c r="E127" s="3" t="s">
        <v>45</v>
      </c>
      <c r="F127" s="3" t="s">
        <v>45</v>
      </c>
      <c r="G127" s="3" t="s">
        <v>132</v>
      </c>
      <c r="H127" s="3" t="s">
        <v>656</v>
      </c>
      <c r="I127" s="3" t="s">
        <v>110</v>
      </c>
      <c r="J127" s="3" t="s">
        <v>37</v>
      </c>
    </row>
    <row r="128" ht="15.75" customHeight="1">
      <c r="A128" s="3" t="s">
        <v>146</v>
      </c>
      <c r="B128" s="3" t="s">
        <v>566</v>
      </c>
      <c r="C128" s="3" t="s">
        <v>651</v>
      </c>
      <c r="D128" s="3" t="s">
        <v>139</v>
      </c>
      <c r="E128" s="3" t="s">
        <v>45</v>
      </c>
      <c r="F128" s="3" t="s">
        <v>45</v>
      </c>
      <c r="G128" s="3" t="s">
        <v>117</v>
      </c>
      <c r="H128" s="3" t="s">
        <v>652</v>
      </c>
      <c r="I128" s="3" t="s">
        <v>147</v>
      </c>
      <c r="J128" s="3" t="s">
        <v>37</v>
      </c>
    </row>
    <row r="129" ht="15.75" customHeight="1">
      <c r="A129" s="3" t="s">
        <v>149</v>
      </c>
      <c r="B129" s="3" t="s">
        <v>566</v>
      </c>
      <c r="C129" s="3" t="s">
        <v>649</v>
      </c>
      <c r="D129" s="3" t="s">
        <v>139</v>
      </c>
      <c r="E129" s="3" t="s">
        <v>45</v>
      </c>
      <c r="F129" s="3" t="s">
        <v>45</v>
      </c>
      <c r="G129" s="3" t="s">
        <v>112</v>
      </c>
      <c r="H129" s="3" t="s">
        <v>650</v>
      </c>
      <c r="I129" s="3" t="s">
        <v>16</v>
      </c>
      <c r="J129" s="3" t="s">
        <v>21</v>
      </c>
    </row>
    <row r="130" ht="15.75" customHeight="1">
      <c r="A130" s="3" t="s">
        <v>661</v>
      </c>
      <c r="B130" s="3" t="s">
        <v>566</v>
      </c>
      <c r="C130" s="3" t="s">
        <v>651</v>
      </c>
      <c r="D130" s="3" t="s">
        <v>139</v>
      </c>
      <c r="E130" s="3" t="s">
        <v>45</v>
      </c>
      <c r="F130" s="3" t="s">
        <v>45</v>
      </c>
      <c r="G130" s="3"/>
      <c r="H130" s="3" t="s">
        <v>654</v>
      </c>
      <c r="I130" s="3" t="s">
        <v>16</v>
      </c>
      <c r="J130" s="3" t="s">
        <v>21</v>
      </c>
    </row>
    <row r="131" ht="15.75" customHeight="1">
      <c r="A131" s="3" t="s">
        <v>662</v>
      </c>
      <c r="B131" s="3" t="s">
        <v>566</v>
      </c>
      <c r="C131" s="3" t="s">
        <v>651</v>
      </c>
      <c r="D131" s="3" t="s">
        <v>139</v>
      </c>
      <c r="E131" s="3" t="s">
        <v>45</v>
      </c>
      <c r="F131" s="3" t="s">
        <v>45</v>
      </c>
      <c r="G131" s="3"/>
      <c r="H131" s="3" t="s">
        <v>654</v>
      </c>
      <c r="I131" s="3" t="s">
        <v>16</v>
      </c>
      <c r="J131" s="3" t="s">
        <v>21</v>
      </c>
    </row>
    <row r="132" ht="15.75" customHeight="1">
      <c r="A132" s="3" t="s">
        <v>152</v>
      </c>
      <c r="B132" s="3" t="s">
        <v>566</v>
      </c>
      <c r="C132" s="3" t="s">
        <v>649</v>
      </c>
      <c r="D132" s="3" t="s">
        <v>139</v>
      </c>
      <c r="E132" s="3" t="s">
        <v>45</v>
      </c>
      <c r="F132" s="3" t="s">
        <v>45</v>
      </c>
      <c r="G132" s="3" t="s">
        <v>112</v>
      </c>
      <c r="H132" s="3" t="s">
        <v>650</v>
      </c>
      <c r="I132" s="3" t="s">
        <v>16</v>
      </c>
      <c r="J132" s="3" t="s">
        <v>21</v>
      </c>
    </row>
    <row r="133" ht="15.75" customHeight="1">
      <c r="A133" s="3" t="s">
        <v>663</v>
      </c>
      <c r="B133" s="3" t="s">
        <v>566</v>
      </c>
      <c r="C133" s="3" t="s">
        <v>651</v>
      </c>
      <c r="D133" s="3" t="s">
        <v>139</v>
      </c>
      <c r="E133" s="3" t="s">
        <v>45</v>
      </c>
      <c r="F133" s="3" t="s">
        <v>45</v>
      </c>
      <c r="G133" s="3"/>
      <c r="H133" s="3" t="s">
        <v>654</v>
      </c>
      <c r="I133" s="3" t="s">
        <v>16</v>
      </c>
      <c r="J133" s="3" t="s">
        <v>21</v>
      </c>
    </row>
    <row r="134" ht="15.75" customHeight="1">
      <c r="A134" s="3" t="s">
        <v>664</v>
      </c>
      <c r="B134" s="3" t="s">
        <v>566</v>
      </c>
      <c r="C134" s="3" t="s">
        <v>651</v>
      </c>
      <c r="D134" s="3" t="s">
        <v>139</v>
      </c>
      <c r="E134" s="3" t="s">
        <v>45</v>
      </c>
      <c r="F134" s="3" t="s">
        <v>45</v>
      </c>
      <c r="G134" s="3"/>
      <c r="H134" s="3" t="s">
        <v>654</v>
      </c>
      <c r="I134" s="3" t="s">
        <v>16</v>
      </c>
      <c r="J134" s="3" t="s">
        <v>21</v>
      </c>
    </row>
    <row r="135" ht="15.75" customHeight="1">
      <c r="A135" s="3" t="s">
        <v>154</v>
      </c>
      <c r="B135" s="3" t="s">
        <v>566</v>
      </c>
      <c r="C135" s="3" t="s">
        <v>649</v>
      </c>
      <c r="D135" s="3" t="s">
        <v>139</v>
      </c>
      <c r="E135" s="3" t="s">
        <v>45</v>
      </c>
      <c r="F135" s="3" t="s">
        <v>45</v>
      </c>
      <c r="G135" s="3" t="s">
        <v>112</v>
      </c>
      <c r="H135" s="3" t="s">
        <v>650</v>
      </c>
      <c r="I135" s="3" t="s">
        <v>16</v>
      </c>
      <c r="J135" s="3" t="s">
        <v>21</v>
      </c>
    </row>
    <row r="136" ht="15.75" customHeight="1">
      <c r="A136" s="3" t="s">
        <v>157</v>
      </c>
      <c r="B136" s="3" t="s">
        <v>566</v>
      </c>
      <c r="C136" s="3" t="s">
        <v>651</v>
      </c>
      <c r="D136" s="3" t="s">
        <v>139</v>
      </c>
      <c r="E136" s="3" t="s">
        <v>45</v>
      </c>
      <c r="F136" s="3" t="s">
        <v>45</v>
      </c>
      <c r="G136" s="3" t="s">
        <v>117</v>
      </c>
      <c r="H136" s="3" t="s">
        <v>652</v>
      </c>
      <c r="I136" s="3" t="s">
        <v>116</v>
      </c>
      <c r="J136" s="3" t="s">
        <v>37</v>
      </c>
    </row>
    <row r="137" ht="15.75" customHeight="1">
      <c r="A137" s="3" t="s">
        <v>665</v>
      </c>
      <c r="B137" s="3" t="s">
        <v>566</v>
      </c>
      <c r="C137" s="3" t="s">
        <v>651</v>
      </c>
      <c r="D137" s="3" t="s">
        <v>139</v>
      </c>
      <c r="E137" s="3" t="s">
        <v>45</v>
      </c>
      <c r="F137" s="3" t="s">
        <v>45</v>
      </c>
      <c r="G137" s="3"/>
      <c r="H137" s="3" t="s">
        <v>654</v>
      </c>
      <c r="I137" s="3" t="s">
        <v>16</v>
      </c>
      <c r="J137" s="3" t="s">
        <v>21</v>
      </c>
    </row>
    <row r="138" ht="15.75" customHeight="1">
      <c r="A138" s="3" t="s">
        <v>160</v>
      </c>
      <c r="B138" s="3" t="s">
        <v>566</v>
      </c>
      <c r="C138" s="3" t="s">
        <v>649</v>
      </c>
      <c r="D138" s="3" t="s">
        <v>139</v>
      </c>
      <c r="E138" s="3" t="s">
        <v>45</v>
      </c>
      <c r="F138" s="3" t="s">
        <v>45</v>
      </c>
      <c r="G138" s="3" t="s">
        <v>112</v>
      </c>
      <c r="H138" s="3" t="s">
        <v>650</v>
      </c>
      <c r="I138" s="3" t="s">
        <v>16</v>
      </c>
      <c r="J138" s="3" t="s">
        <v>21</v>
      </c>
    </row>
    <row r="139" ht="15.75" customHeight="1">
      <c r="A139" s="3" t="s">
        <v>666</v>
      </c>
      <c r="B139" s="3" t="s">
        <v>566</v>
      </c>
      <c r="C139" s="3" t="s">
        <v>651</v>
      </c>
      <c r="D139" s="3" t="s">
        <v>139</v>
      </c>
      <c r="E139" s="3" t="s">
        <v>45</v>
      </c>
      <c r="F139" s="3" t="s">
        <v>45</v>
      </c>
      <c r="G139" s="3"/>
      <c r="H139" s="3" t="s">
        <v>654</v>
      </c>
      <c r="I139" s="3" t="s">
        <v>16</v>
      </c>
      <c r="J139" s="3" t="s">
        <v>21</v>
      </c>
    </row>
    <row r="140" ht="15.75" customHeight="1">
      <c r="A140" s="3" t="s">
        <v>161</v>
      </c>
      <c r="B140" s="3" t="s">
        <v>566</v>
      </c>
      <c r="C140" s="3" t="s">
        <v>651</v>
      </c>
      <c r="D140" s="3" t="s">
        <v>139</v>
      </c>
      <c r="E140" s="3" t="s">
        <v>45</v>
      </c>
      <c r="F140" s="3" t="s">
        <v>45</v>
      </c>
      <c r="G140" s="3" t="s">
        <v>117</v>
      </c>
      <c r="H140" s="3" t="s">
        <v>652</v>
      </c>
      <c r="I140" s="3" t="s">
        <v>162</v>
      </c>
      <c r="J140" s="3" t="s">
        <v>37</v>
      </c>
    </row>
    <row r="141" ht="15.75" customHeight="1">
      <c r="A141" s="3" t="s">
        <v>169</v>
      </c>
      <c r="B141" s="3" t="s">
        <v>566</v>
      </c>
      <c r="C141" s="3" t="s">
        <v>651</v>
      </c>
      <c r="D141" s="3" t="s">
        <v>139</v>
      </c>
      <c r="E141" s="3" t="s">
        <v>45</v>
      </c>
      <c r="F141" s="3" t="s">
        <v>45</v>
      </c>
      <c r="G141" s="3" t="s">
        <v>117</v>
      </c>
      <c r="H141" s="3" t="s">
        <v>652</v>
      </c>
      <c r="I141" s="3" t="s">
        <v>116</v>
      </c>
      <c r="J141" s="3" t="s">
        <v>37</v>
      </c>
    </row>
    <row r="142" ht="15.75" customHeight="1">
      <c r="A142" s="3" t="s">
        <v>667</v>
      </c>
      <c r="B142" s="3" t="s">
        <v>566</v>
      </c>
      <c r="C142" s="3" t="s">
        <v>651</v>
      </c>
      <c r="D142" s="3" t="s">
        <v>139</v>
      </c>
      <c r="E142" s="3" t="s">
        <v>45</v>
      </c>
      <c r="F142" s="3" t="s">
        <v>45</v>
      </c>
      <c r="G142" s="3"/>
      <c r="H142" s="3" t="s">
        <v>654</v>
      </c>
      <c r="I142" s="3" t="s">
        <v>16</v>
      </c>
      <c r="J142" s="3" t="s">
        <v>21</v>
      </c>
    </row>
    <row r="143" ht="15.75" customHeight="1">
      <c r="A143" s="3" t="s">
        <v>173</v>
      </c>
      <c r="B143" s="3" t="s">
        <v>566</v>
      </c>
      <c r="C143" s="3" t="s">
        <v>649</v>
      </c>
      <c r="D143" s="3" t="s">
        <v>139</v>
      </c>
      <c r="E143" s="3" t="s">
        <v>45</v>
      </c>
      <c r="F143" s="3" t="s">
        <v>45</v>
      </c>
      <c r="G143" s="3" t="s">
        <v>112</v>
      </c>
      <c r="H143" s="3" t="s">
        <v>650</v>
      </c>
      <c r="I143" s="3" t="s">
        <v>16</v>
      </c>
      <c r="J143" s="3" t="s">
        <v>21</v>
      </c>
    </row>
    <row r="144" ht="15.75" customHeight="1">
      <c r="A144" s="3" t="s">
        <v>668</v>
      </c>
      <c r="B144" s="3" t="s">
        <v>566</v>
      </c>
      <c r="C144" s="3" t="s">
        <v>651</v>
      </c>
      <c r="D144" s="3" t="s">
        <v>139</v>
      </c>
      <c r="E144" s="3" t="s">
        <v>45</v>
      </c>
      <c r="F144" s="3" t="s">
        <v>45</v>
      </c>
      <c r="G144" s="3"/>
      <c r="H144" s="3" t="s">
        <v>654</v>
      </c>
      <c r="I144" s="3" t="s">
        <v>16</v>
      </c>
      <c r="J144" s="3" t="s">
        <v>21</v>
      </c>
    </row>
    <row r="145" ht="15.75" customHeight="1">
      <c r="A145" s="3" t="s">
        <v>669</v>
      </c>
      <c r="B145" s="3" t="s">
        <v>566</v>
      </c>
      <c r="C145" s="3" t="s">
        <v>651</v>
      </c>
      <c r="D145" s="3" t="s">
        <v>139</v>
      </c>
      <c r="E145" s="3" t="s">
        <v>45</v>
      </c>
      <c r="F145" s="3" t="s">
        <v>45</v>
      </c>
      <c r="G145" s="3"/>
      <c r="H145" s="3" t="s">
        <v>654</v>
      </c>
      <c r="I145" s="3" t="s">
        <v>16</v>
      </c>
      <c r="J145" s="3" t="s">
        <v>21</v>
      </c>
    </row>
    <row r="146" ht="15.75" customHeight="1">
      <c r="A146" s="3" t="s">
        <v>176</v>
      </c>
      <c r="B146" s="3" t="s">
        <v>566</v>
      </c>
      <c r="C146" s="3" t="s">
        <v>651</v>
      </c>
      <c r="D146" s="3" t="s">
        <v>139</v>
      </c>
      <c r="E146" s="3" t="s">
        <v>45</v>
      </c>
      <c r="F146" s="3" t="s">
        <v>45</v>
      </c>
      <c r="G146" s="3" t="s">
        <v>177</v>
      </c>
      <c r="H146" s="3" t="s">
        <v>670</v>
      </c>
      <c r="I146" s="3" t="s">
        <v>16</v>
      </c>
      <c r="J146" s="3" t="s">
        <v>37</v>
      </c>
    </row>
    <row r="147" ht="15.75" customHeight="1">
      <c r="A147" s="3" t="s">
        <v>179</v>
      </c>
      <c r="B147" s="3" t="s">
        <v>566</v>
      </c>
      <c r="C147" s="3" t="s">
        <v>649</v>
      </c>
      <c r="D147" s="3" t="s">
        <v>139</v>
      </c>
      <c r="E147" s="3" t="s">
        <v>45</v>
      </c>
      <c r="F147" s="3" t="s">
        <v>45</v>
      </c>
      <c r="G147" s="3" t="s">
        <v>112</v>
      </c>
      <c r="H147" s="3" t="s">
        <v>650</v>
      </c>
      <c r="I147" s="3" t="s">
        <v>16</v>
      </c>
      <c r="J147" s="3" t="s">
        <v>21</v>
      </c>
    </row>
    <row r="148" ht="15.75" customHeight="1">
      <c r="A148" s="3" t="s">
        <v>671</v>
      </c>
      <c r="B148" s="3" t="s">
        <v>566</v>
      </c>
      <c r="C148" s="3" t="s">
        <v>651</v>
      </c>
      <c r="D148" s="3" t="s">
        <v>139</v>
      </c>
      <c r="E148" s="3" t="s">
        <v>45</v>
      </c>
      <c r="F148" s="3" t="s">
        <v>45</v>
      </c>
      <c r="G148" s="3"/>
      <c r="H148" s="3" t="s">
        <v>654</v>
      </c>
      <c r="I148" s="3" t="s">
        <v>16</v>
      </c>
      <c r="J148" s="3" t="s">
        <v>21</v>
      </c>
    </row>
    <row r="149" ht="15.75" customHeight="1">
      <c r="A149" s="3" t="s">
        <v>180</v>
      </c>
      <c r="B149" s="3" t="s">
        <v>566</v>
      </c>
      <c r="C149" s="3" t="s">
        <v>649</v>
      </c>
      <c r="D149" s="3" t="s">
        <v>139</v>
      </c>
      <c r="E149" s="3" t="s">
        <v>45</v>
      </c>
      <c r="F149" s="3" t="s">
        <v>45</v>
      </c>
      <c r="G149" s="3" t="s">
        <v>112</v>
      </c>
      <c r="H149" s="3" t="s">
        <v>650</v>
      </c>
      <c r="I149" s="3" t="s">
        <v>16</v>
      </c>
      <c r="J149" s="3" t="s">
        <v>21</v>
      </c>
    </row>
    <row r="150" ht="15.75" customHeight="1">
      <c r="A150" s="3" t="s">
        <v>184</v>
      </c>
      <c r="B150" s="3" t="s">
        <v>566</v>
      </c>
      <c r="C150" s="3" t="s">
        <v>649</v>
      </c>
      <c r="D150" s="3" t="s">
        <v>139</v>
      </c>
      <c r="E150" s="3" t="s">
        <v>45</v>
      </c>
      <c r="F150" s="3" t="s">
        <v>45</v>
      </c>
      <c r="G150" s="3" t="s">
        <v>112</v>
      </c>
      <c r="H150" s="3" t="s">
        <v>650</v>
      </c>
      <c r="I150" s="3" t="s">
        <v>16</v>
      </c>
      <c r="J150" s="3" t="s">
        <v>21</v>
      </c>
    </row>
    <row r="151" ht="15.75" customHeight="1">
      <c r="A151" s="3" t="s">
        <v>672</v>
      </c>
      <c r="B151" s="3" t="s">
        <v>566</v>
      </c>
      <c r="C151" s="3" t="s">
        <v>651</v>
      </c>
      <c r="D151" s="3" t="s">
        <v>139</v>
      </c>
      <c r="E151" s="3" t="s">
        <v>45</v>
      </c>
      <c r="F151" s="3" t="s">
        <v>45</v>
      </c>
      <c r="G151" s="3"/>
      <c r="H151" s="3" t="s">
        <v>654</v>
      </c>
      <c r="I151" s="3" t="s">
        <v>16</v>
      </c>
      <c r="J151" s="3" t="s">
        <v>21</v>
      </c>
    </row>
    <row r="152" ht="15.75" customHeight="1">
      <c r="A152" s="3" t="s">
        <v>673</v>
      </c>
      <c r="B152" s="3" t="s">
        <v>566</v>
      </c>
      <c r="C152" s="3" t="s">
        <v>651</v>
      </c>
      <c r="D152" s="3" t="s">
        <v>139</v>
      </c>
      <c r="E152" s="3" t="s">
        <v>45</v>
      </c>
      <c r="F152" s="3" t="s">
        <v>45</v>
      </c>
      <c r="G152" s="3"/>
      <c r="H152" s="3" t="s">
        <v>654</v>
      </c>
      <c r="I152" s="3" t="s">
        <v>16</v>
      </c>
      <c r="J152" s="3" t="s">
        <v>21</v>
      </c>
    </row>
    <row r="153" ht="15.75" customHeight="1">
      <c r="A153" s="3" t="s">
        <v>674</v>
      </c>
      <c r="B153" s="3" t="s">
        <v>566</v>
      </c>
      <c r="C153" s="3" t="s">
        <v>651</v>
      </c>
      <c r="D153" s="3" t="s">
        <v>139</v>
      </c>
      <c r="E153" s="3" t="s">
        <v>45</v>
      </c>
      <c r="F153" s="3" t="s">
        <v>45</v>
      </c>
      <c r="G153" s="3"/>
      <c r="H153" s="3" t="s">
        <v>654</v>
      </c>
      <c r="I153" s="3" t="s">
        <v>16</v>
      </c>
      <c r="J153" s="3" t="s">
        <v>21</v>
      </c>
    </row>
    <row r="154" ht="15.75" customHeight="1">
      <c r="A154" s="3" t="s">
        <v>189</v>
      </c>
      <c r="B154" s="3" t="s">
        <v>566</v>
      </c>
      <c r="C154" s="3" t="s">
        <v>651</v>
      </c>
      <c r="D154" s="3" t="s">
        <v>139</v>
      </c>
      <c r="E154" s="3" t="s">
        <v>45</v>
      </c>
      <c r="F154" s="3" t="s">
        <v>45</v>
      </c>
      <c r="G154" s="3" t="s">
        <v>117</v>
      </c>
      <c r="H154" s="3" t="s">
        <v>652</v>
      </c>
      <c r="I154" s="3" t="s">
        <v>190</v>
      </c>
      <c r="J154" s="3" t="s">
        <v>37</v>
      </c>
    </row>
    <row r="155" ht="15.75" customHeight="1">
      <c r="A155" s="3" t="s">
        <v>675</v>
      </c>
      <c r="B155" s="3" t="s">
        <v>566</v>
      </c>
      <c r="C155" s="3" t="s">
        <v>651</v>
      </c>
      <c r="D155" s="3" t="s">
        <v>139</v>
      </c>
      <c r="E155" s="3" t="s">
        <v>45</v>
      </c>
      <c r="F155" s="3" t="s">
        <v>45</v>
      </c>
      <c r="G155" s="3"/>
      <c r="H155" s="3" t="s">
        <v>654</v>
      </c>
      <c r="I155" s="3" t="s">
        <v>16</v>
      </c>
      <c r="J155" s="3" t="s">
        <v>21</v>
      </c>
    </row>
    <row r="156" ht="15.75" customHeight="1">
      <c r="A156" s="3" t="s">
        <v>676</v>
      </c>
      <c r="B156" s="3" t="s">
        <v>566</v>
      </c>
      <c r="C156" s="3" t="s">
        <v>651</v>
      </c>
      <c r="D156" s="3" t="s">
        <v>139</v>
      </c>
      <c r="E156" s="3" t="s">
        <v>45</v>
      </c>
      <c r="F156" s="3" t="s">
        <v>45</v>
      </c>
      <c r="G156" s="3"/>
      <c r="H156" s="3" t="s">
        <v>654</v>
      </c>
      <c r="I156" s="3" t="s">
        <v>16</v>
      </c>
      <c r="J156" s="3" t="s">
        <v>21</v>
      </c>
    </row>
    <row r="157" ht="15.75" customHeight="1">
      <c r="A157" s="3" t="s">
        <v>677</v>
      </c>
      <c r="B157" s="3" t="s">
        <v>566</v>
      </c>
      <c r="C157" s="3" t="s">
        <v>651</v>
      </c>
      <c r="D157" s="3" t="s">
        <v>139</v>
      </c>
      <c r="E157" s="3" t="s">
        <v>45</v>
      </c>
      <c r="F157" s="3" t="s">
        <v>45</v>
      </c>
      <c r="G157" s="3"/>
      <c r="H157" s="3" t="s">
        <v>654</v>
      </c>
      <c r="I157" s="3" t="s">
        <v>16</v>
      </c>
      <c r="J157" s="3" t="s">
        <v>21</v>
      </c>
    </row>
    <row r="158" ht="15.75" customHeight="1">
      <c r="A158" s="3" t="s">
        <v>192</v>
      </c>
      <c r="B158" s="3" t="s">
        <v>566</v>
      </c>
      <c r="C158" s="3" t="s">
        <v>651</v>
      </c>
      <c r="D158" s="3" t="s">
        <v>139</v>
      </c>
      <c r="E158" s="3" t="s">
        <v>45</v>
      </c>
      <c r="F158" s="3" t="s">
        <v>45</v>
      </c>
      <c r="G158" s="3" t="s">
        <v>117</v>
      </c>
      <c r="H158" s="3" t="s">
        <v>652</v>
      </c>
      <c r="I158" s="3" t="s">
        <v>124</v>
      </c>
      <c r="J158" s="3" t="s">
        <v>37</v>
      </c>
    </row>
    <row r="159" ht="15.75" customHeight="1">
      <c r="A159" s="3" t="s">
        <v>678</v>
      </c>
      <c r="B159" s="3" t="s">
        <v>566</v>
      </c>
      <c r="C159" s="3" t="s">
        <v>651</v>
      </c>
      <c r="D159" s="3" t="s">
        <v>139</v>
      </c>
      <c r="E159" s="3" t="s">
        <v>45</v>
      </c>
      <c r="F159" s="3" t="s">
        <v>45</v>
      </c>
      <c r="G159" s="3"/>
      <c r="H159" s="3" t="s">
        <v>654</v>
      </c>
      <c r="I159" s="3" t="s">
        <v>16</v>
      </c>
      <c r="J159" s="3" t="s">
        <v>21</v>
      </c>
    </row>
    <row r="160" ht="15.75" customHeight="1">
      <c r="A160" s="3" t="s">
        <v>196</v>
      </c>
      <c r="B160" s="3" t="s">
        <v>566</v>
      </c>
      <c r="C160" s="3" t="s">
        <v>651</v>
      </c>
      <c r="D160" s="3" t="s">
        <v>139</v>
      </c>
      <c r="E160" s="3" t="s">
        <v>45</v>
      </c>
      <c r="F160" s="3" t="s">
        <v>45</v>
      </c>
      <c r="G160" s="3" t="s">
        <v>117</v>
      </c>
      <c r="H160" s="3" t="s">
        <v>652</v>
      </c>
      <c r="I160" s="3" t="s">
        <v>127</v>
      </c>
      <c r="J160" s="3" t="s">
        <v>37</v>
      </c>
    </row>
    <row r="161" ht="15.75" customHeight="1">
      <c r="A161" s="3" t="s">
        <v>679</v>
      </c>
      <c r="B161" s="3" t="s">
        <v>566</v>
      </c>
      <c r="C161" s="3" t="s">
        <v>651</v>
      </c>
      <c r="D161" s="3" t="s">
        <v>139</v>
      </c>
      <c r="E161" s="3" t="s">
        <v>45</v>
      </c>
      <c r="F161" s="3" t="s">
        <v>45</v>
      </c>
      <c r="G161" s="3"/>
      <c r="H161" s="3" t="s">
        <v>654</v>
      </c>
      <c r="I161" s="3" t="s">
        <v>16</v>
      </c>
      <c r="J161" s="3" t="s">
        <v>21</v>
      </c>
    </row>
    <row r="162" ht="15.75" customHeight="1">
      <c r="A162" s="3" t="s">
        <v>680</v>
      </c>
      <c r="B162" s="3" t="s">
        <v>566</v>
      </c>
      <c r="C162" s="3" t="s">
        <v>651</v>
      </c>
      <c r="D162" s="3" t="s">
        <v>139</v>
      </c>
      <c r="E162" s="3" t="s">
        <v>45</v>
      </c>
      <c r="F162" s="3" t="s">
        <v>45</v>
      </c>
      <c r="G162" s="3"/>
      <c r="H162" s="3" t="s">
        <v>654</v>
      </c>
      <c r="I162" s="3" t="s">
        <v>16</v>
      </c>
      <c r="J162" s="3" t="s">
        <v>21</v>
      </c>
    </row>
    <row r="163" ht="15.75" customHeight="1">
      <c r="A163" s="3" t="s">
        <v>199</v>
      </c>
      <c r="B163" s="3" t="s">
        <v>566</v>
      </c>
      <c r="C163" s="3" t="s">
        <v>681</v>
      </c>
      <c r="D163" s="3" t="s">
        <v>139</v>
      </c>
      <c r="E163" s="3" t="s">
        <v>45</v>
      </c>
      <c r="F163" s="3" t="s">
        <v>45</v>
      </c>
      <c r="G163" s="3" t="s">
        <v>202</v>
      </c>
      <c r="H163" s="3" t="s">
        <v>682</v>
      </c>
      <c r="I163" s="3" t="s">
        <v>16</v>
      </c>
      <c r="J163" s="3" t="s">
        <v>21</v>
      </c>
    </row>
    <row r="164" ht="15.75" customHeight="1">
      <c r="A164" s="3" t="s">
        <v>683</v>
      </c>
      <c r="B164" s="3" t="s">
        <v>566</v>
      </c>
      <c r="C164" s="3" t="s">
        <v>651</v>
      </c>
      <c r="D164" s="3" t="s">
        <v>139</v>
      </c>
      <c r="E164" s="3" t="s">
        <v>45</v>
      </c>
      <c r="F164" s="3" t="s">
        <v>45</v>
      </c>
      <c r="G164" s="3"/>
      <c r="H164" s="3" t="s">
        <v>654</v>
      </c>
      <c r="I164" s="3" t="s">
        <v>16</v>
      </c>
      <c r="J164" s="3" t="s">
        <v>21</v>
      </c>
    </row>
    <row r="165" ht="15.75" customHeight="1">
      <c r="A165" s="3" t="s">
        <v>203</v>
      </c>
      <c r="B165" s="3" t="s">
        <v>566</v>
      </c>
      <c r="C165" s="3" t="s">
        <v>681</v>
      </c>
      <c r="D165" s="3" t="s">
        <v>139</v>
      </c>
      <c r="E165" s="3" t="s">
        <v>45</v>
      </c>
      <c r="F165" s="3" t="s">
        <v>45</v>
      </c>
      <c r="G165" s="3" t="s">
        <v>202</v>
      </c>
      <c r="H165" s="3" t="s">
        <v>682</v>
      </c>
      <c r="I165" s="3" t="s">
        <v>16</v>
      </c>
      <c r="J165" s="3" t="s">
        <v>21</v>
      </c>
    </row>
    <row r="166" ht="15.75" customHeight="1">
      <c r="A166" s="3" t="s">
        <v>684</v>
      </c>
      <c r="B166" s="3" t="s">
        <v>566</v>
      </c>
      <c r="C166" s="3" t="s">
        <v>651</v>
      </c>
      <c r="D166" s="3" t="s">
        <v>139</v>
      </c>
      <c r="E166" s="3" t="s">
        <v>45</v>
      </c>
      <c r="F166" s="3" t="s">
        <v>45</v>
      </c>
      <c r="G166" s="3"/>
      <c r="H166" s="3" t="s">
        <v>654</v>
      </c>
      <c r="I166" s="3" t="s">
        <v>16</v>
      </c>
      <c r="J166" s="3" t="s">
        <v>21</v>
      </c>
    </row>
    <row r="167" ht="15.75" customHeight="1">
      <c r="A167" s="3" t="s">
        <v>685</v>
      </c>
      <c r="B167" s="3" t="s">
        <v>566</v>
      </c>
      <c r="C167" s="3" t="s">
        <v>651</v>
      </c>
      <c r="D167" s="3" t="s">
        <v>139</v>
      </c>
      <c r="E167" s="3" t="s">
        <v>45</v>
      </c>
      <c r="F167" s="3" t="s">
        <v>45</v>
      </c>
      <c r="G167" s="3"/>
      <c r="H167" s="3" t="s">
        <v>654</v>
      </c>
      <c r="I167" s="3" t="s">
        <v>16</v>
      </c>
      <c r="J167" s="3" t="s">
        <v>21</v>
      </c>
    </row>
    <row r="168" ht="15.75" customHeight="1">
      <c r="A168" s="3" t="s">
        <v>686</v>
      </c>
      <c r="B168" s="3" t="s">
        <v>566</v>
      </c>
      <c r="C168" s="3" t="s">
        <v>651</v>
      </c>
      <c r="D168" s="3" t="s">
        <v>139</v>
      </c>
      <c r="E168" s="3" t="s">
        <v>45</v>
      </c>
      <c r="F168" s="3" t="s">
        <v>45</v>
      </c>
      <c r="G168" s="3"/>
      <c r="H168" s="3" t="s">
        <v>654</v>
      </c>
      <c r="I168" s="3" t="s">
        <v>16</v>
      </c>
      <c r="J168" s="3" t="s">
        <v>21</v>
      </c>
    </row>
    <row r="169" ht="15.75" customHeight="1">
      <c r="A169" s="3" t="s">
        <v>687</v>
      </c>
      <c r="B169" s="3" t="s">
        <v>566</v>
      </c>
      <c r="C169" s="3" t="s">
        <v>651</v>
      </c>
      <c r="D169" s="3" t="s">
        <v>139</v>
      </c>
      <c r="E169" s="3" t="s">
        <v>45</v>
      </c>
      <c r="F169" s="3" t="s">
        <v>45</v>
      </c>
      <c r="G169" s="3"/>
      <c r="H169" s="3" t="s">
        <v>654</v>
      </c>
      <c r="I169" s="3" t="s">
        <v>16</v>
      </c>
      <c r="J169" s="3" t="s">
        <v>21</v>
      </c>
    </row>
    <row r="170" ht="15.75" customHeight="1">
      <c r="A170" s="3" t="s">
        <v>205</v>
      </c>
      <c r="B170" s="3" t="s">
        <v>566</v>
      </c>
      <c r="C170" s="3" t="s">
        <v>688</v>
      </c>
      <c r="D170" s="3" t="s">
        <v>139</v>
      </c>
      <c r="E170" s="3" t="s">
        <v>45</v>
      </c>
      <c r="F170" s="3" t="s">
        <v>45</v>
      </c>
      <c r="G170" s="3" t="s">
        <v>206</v>
      </c>
      <c r="H170" s="3" t="s">
        <v>689</v>
      </c>
      <c r="I170" s="3" t="s">
        <v>16</v>
      </c>
      <c r="J170" s="3" t="s">
        <v>21</v>
      </c>
    </row>
    <row r="171" ht="15.75" customHeight="1">
      <c r="A171" s="3" t="s">
        <v>209</v>
      </c>
      <c r="B171" s="3" t="s">
        <v>566</v>
      </c>
      <c r="C171" s="3" t="s">
        <v>651</v>
      </c>
      <c r="D171" s="3" t="s">
        <v>139</v>
      </c>
      <c r="E171" s="3" t="s">
        <v>45</v>
      </c>
      <c r="F171" s="3" t="s">
        <v>45</v>
      </c>
      <c r="G171" s="3" t="s">
        <v>117</v>
      </c>
      <c r="H171" s="3" t="s">
        <v>652</v>
      </c>
      <c r="I171" s="3" t="s">
        <v>210</v>
      </c>
      <c r="J171" s="3" t="s">
        <v>37</v>
      </c>
    </row>
    <row r="172" ht="15.75" customHeight="1">
      <c r="A172" s="3" t="s">
        <v>690</v>
      </c>
      <c r="B172" s="3" t="s">
        <v>566</v>
      </c>
      <c r="C172" s="3" t="s">
        <v>651</v>
      </c>
      <c r="D172" s="3" t="s">
        <v>139</v>
      </c>
      <c r="E172" s="3" t="s">
        <v>45</v>
      </c>
      <c r="F172" s="3" t="s">
        <v>45</v>
      </c>
      <c r="G172" s="3"/>
      <c r="H172" s="3" t="s">
        <v>654</v>
      </c>
      <c r="I172" s="3" t="s">
        <v>16</v>
      </c>
      <c r="J172" s="3" t="s">
        <v>21</v>
      </c>
    </row>
    <row r="173" ht="15.75" customHeight="1">
      <c r="A173" s="3" t="s">
        <v>691</v>
      </c>
      <c r="B173" s="3" t="s">
        <v>566</v>
      </c>
      <c r="C173" s="3" t="s">
        <v>651</v>
      </c>
      <c r="D173" s="3" t="s">
        <v>139</v>
      </c>
      <c r="E173" s="3" t="s">
        <v>45</v>
      </c>
      <c r="F173" s="3" t="s">
        <v>45</v>
      </c>
      <c r="G173" s="3"/>
      <c r="H173" s="3" t="s">
        <v>654</v>
      </c>
      <c r="I173" s="3" t="s">
        <v>16</v>
      </c>
      <c r="J173" s="3" t="s">
        <v>21</v>
      </c>
    </row>
    <row r="174" ht="15.75" customHeight="1">
      <c r="A174" s="3" t="s">
        <v>692</v>
      </c>
      <c r="B174" s="3" t="s">
        <v>566</v>
      </c>
      <c r="C174" s="3" t="s">
        <v>651</v>
      </c>
      <c r="D174" s="3" t="s">
        <v>139</v>
      </c>
      <c r="E174" s="3" t="s">
        <v>45</v>
      </c>
      <c r="F174" s="3" t="s">
        <v>45</v>
      </c>
      <c r="G174" s="3"/>
      <c r="H174" s="3" t="s">
        <v>654</v>
      </c>
      <c r="I174" s="3" t="s">
        <v>16</v>
      </c>
      <c r="J174" s="3" t="s">
        <v>21</v>
      </c>
    </row>
    <row r="175" ht="15.75" customHeight="1">
      <c r="A175" s="3" t="s">
        <v>212</v>
      </c>
      <c r="B175" s="3" t="s">
        <v>566</v>
      </c>
      <c r="C175" s="3" t="s">
        <v>651</v>
      </c>
      <c r="D175" s="3" t="s">
        <v>139</v>
      </c>
      <c r="E175" s="3" t="s">
        <v>45</v>
      </c>
      <c r="F175" s="3" t="s">
        <v>45</v>
      </c>
      <c r="G175" s="3" t="s">
        <v>117</v>
      </c>
      <c r="H175" s="3" t="s">
        <v>652</v>
      </c>
      <c r="I175" s="3" t="s">
        <v>127</v>
      </c>
      <c r="J175" s="3" t="s">
        <v>37</v>
      </c>
    </row>
    <row r="176" ht="15.75" customHeight="1">
      <c r="A176" s="3" t="s">
        <v>222</v>
      </c>
      <c r="B176" s="3" t="s">
        <v>566</v>
      </c>
      <c r="C176" s="3" t="s">
        <v>651</v>
      </c>
      <c r="D176" s="3" t="s">
        <v>139</v>
      </c>
      <c r="E176" s="3" t="s">
        <v>45</v>
      </c>
      <c r="F176" s="3" t="s">
        <v>45</v>
      </c>
      <c r="G176" s="3"/>
      <c r="H176" s="3" t="s">
        <v>654</v>
      </c>
      <c r="I176" s="3" t="s">
        <v>16</v>
      </c>
      <c r="J176" s="3" t="s">
        <v>21</v>
      </c>
    </row>
    <row r="177" ht="15.75" customHeight="1">
      <c r="A177" s="3" t="s">
        <v>693</v>
      </c>
      <c r="B177" s="3" t="s">
        <v>566</v>
      </c>
      <c r="C177" s="3" t="s">
        <v>651</v>
      </c>
      <c r="D177" s="3" t="s">
        <v>139</v>
      </c>
      <c r="E177" s="3" t="s">
        <v>45</v>
      </c>
      <c r="F177" s="3" t="s">
        <v>45</v>
      </c>
      <c r="G177" s="3"/>
      <c r="H177" s="3" t="s">
        <v>654</v>
      </c>
      <c r="I177" s="3" t="s">
        <v>16</v>
      </c>
      <c r="J177" s="3" t="s">
        <v>21</v>
      </c>
    </row>
    <row r="178" ht="15.75" customHeight="1">
      <c r="A178" s="3" t="s">
        <v>694</v>
      </c>
      <c r="B178" s="3" t="s">
        <v>566</v>
      </c>
      <c r="C178" s="3" t="s">
        <v>651</v>
      </c>
      <c r="D178" s="3" t="s">
        <v>139</v>
      </c>
      <c r="E178" s="3" t="s">
        <v>45</v>
      </c>
      <c r="F178" s="3" t="s">
        <v>45</v>
      </c>
      <c r="G178" s="3"/>
      <c r="H178" s="3" t="s">
        <v>654</v>
      </c>
      <c r="I178" s="3" t="s">
        <v>16</v>
      </c>
      <c r="J178" s="3" t="s">
        <v>21</v>
      </c>
    </row>
    <row r="179" ht="15.75" customHeight="1">
      <c r="A179" s="3" t="s">
        <v>695</v>
      </c>
      <c r="B179" s="3" t="s">
        <v>566</v>
      </c>
      <c r="C179" s="3" t="s">
        <v>651</v>
      </c>
      <c r="D179" s="3" t="s">
        <v>139</v>
      </c>
      <c r="E179" s="3" t="s">
        <v>45</v>
      </c>
      <c r="F179" s="3" t="s">
        <v>45</v>
      </c>
      <c r="G179" s="3"/>
      <c r="H179" s="3" t="s">
        <v>654</v>
      </c>
      <c r="I179" s="3" t="s">
        <v>16</v>
      </c>
      <c r="J179" s="3" t="s">
        <v>21</v>
      </c>
    </row>
    <row r="180" ht="15.75" customHeight="1">
      <c r="A180" s="3" t="s">
        <v>216</v>
      </c>
      <c r="B180" s="3" t="s">
        <v>566</v>
      </c>
      <c r="C180" s="3" t="s">
        <v>688</v>
      </c>
      <c r="D180" s="3" t="s">
        <v>139</v>
      </c>
      <c r="E180" s="3" t="s">
        <v>45</v>
      </c>
      <c r="F180" s="3" t="s">
        <v>45</v>
      </c>
      <c r="G180" s="3" t="s">
        <v>206</v>
      </c>
      <c r="H180" s="3" t="s">
        <v>689</v>
      </c>
      <c r="I180" s="3" t="s">
        <v>16</v>
      </c>
      <c r="J180" s="3" t="s">
        <v>21</v>
      </c>
    </row>
    <row r="181" ht="15.75" customHeight="1">
      <c r="A181" s="3" t="s">
        <v>221</v>
      </c>
      <c r="B181" s="3" t="s">
        <v>566</v>
      </c>
      <c r="C181" s="3" t="s">
        <v>651</v>
      </c>
      <c r="D181" s="3" t="s">
        <v>139</v>
      </c>
      <c r="E181" s="3" t="s">
        <v>45</v>
      </c>
      <c r="F181" s="3" t="s">
        <v>45</v>
      </c>
      <c r="G181" s="3" t="s">
        <v>117</v>
      </c>
      <c r="H181" s="3" t="s">
        <v>652</v>
      </c>
      <c r="I181" s="3" t="s">
        <v>222</v>
      </c>
      <c r="J181" s="3" t="s">
        <v>37</v>
      </c>
    </row>
    <row r="182" ht="15.75" customHeight="1">
      <c r="A182" s="3" t="s">
        <v>696</v>
      </c>
      <c r="B182" s="3" t="s">
        <v>566</v>
      </c>
      <c r="C182" s="3" t="s">
        <v>651</v>
      </c>
      <c r="D182" s="3" t="s">
        <v>139</v>
      </c>
      <c r="E182" s="3" t="s">
        <v>45</v>
      </c>
      <c r="F182" s="3" t="s">
        <v>45</v>
      </c>
      <c r="G182" s="3"/>
      <c r="H182" s="3" t="s">
        <v>654</v>
      </c>
      <c r="I182" s="3" t="s">
        <v>16</v>
      </c>
      <c r="J182" s="3" t="s">
        <v>21</v>
      </c>
    </row>
    <row r="183" ht="15.75" customHeight="1">
      <c r="A183" s="3" t="s">
        <v>697</v>
      </c>
      <c r="B183" s="3" t="s">
        <v>566</v>
      </c>
      <c r="C183" s="3" t="s">
        <v>651</v>
      </c>
      <c r="D183" s="3" t="s">
        <v>139</v>
      </c>
      <c r="E183" s="3" t="s">
        <v>45</v>
      </c>
      <c r="F183" s="3" t="s">
        <v>45</v>
      </c>
      <c r="G183" s="3"/>
      <c r="H183" s="3" t="s">
        <v>654</v>
      </c>
      <c r="I183" s="3" t="s">
        <v>16</v>
      </c>
      <c r="J183" s="3" t="s">
        <v>21</v>
      </c>
    </row>
    <row r="184" ht="15.75" customHeight="1">
      <c r="A184" s="3" t="s">
        <v>225</v>
      </c>
      <c r="B184" s="3" t="s">
        <v>566</v>
      </c>
      <c r="C184" s="3" t="s">
        <v>651</v>
      </c>
      <c r="D184" s="3" t="s">
        <v>139</v>
      </c>
      <c r="E184" s="3" t="s">
        <v>45</v>
      </c>
      <c r="F184" s="3" t="s">
        <v>45</v>
      </c>
      <c r="G184" s="3" t="s">
        <v>117</v>
      </c>
      <c r="H184" s="3" t="s">
        <v>652</v>
      </c>
      <c r="I184" s="3" t="s">
        <v>226</v>
      </c>
      <c r="J184" s="3" t="s">
        <v>37</v>
      </c>
    </row>
    <row r="185" ht="15.75" customHeight="1">
      <c r="A185" s="3" t="s">
        <v>226</v>
      </c>
      <c r="B185" s="3" t="s">
        <v>566</v>
      </c>
      <c r="C185" s="3" t="s">
        <v>651</v>
      </c>
      <c r="D185" s="3" t="s">
        <v>139</v>
      </c>
      <c r="E185" s="3" t="s">
        <v>45</v>
      </c>
      <c r="F185" s="3" t="s">
        <v>45</v>
      </c>
      <c r="G185" s="3"/>
      <c r="H185" s="3" t="s">
        <v>654</v>
      </c>
      <c r="I185" s="3" t="s">
        <v>16</v>
      </c>
      <c r="J185" s="3" t="s">
        <v>21</v>
      </c>
    </row>
    <row r="186" ht="15.75" customHeight="1">
      <c r="A186" s="3" t="s">
        <v>230</v>
      </c>
      <c r="B186" s="3" t="s">
        <v>566</v>
      </c>
      <c r="C186" s="3" t="s">
        <v>688</v>
      </c>
      <c r="D186" s="3" t="s">
        <v>139</v>
      </c>
      <c r="E186" s="3" t="s">
        <v>45</v>
      </c>
      <c r="F186" s="3" t="s">
        <v>45</v>
      </c>
      <c r="G186" s="3" t="s">
        <v>206</v>
      </c>
      <c r="H186" s="3" t="s">
        <v>689</v>
      </c>
      <c r="I186" s="3" t="s">
        <v>16</v>
      </c>
      <c r="J186" s="3" t="s">
        <v>21</v>
      </c>
    </row>
    <row r="187" ht="15.75" customHeight="1">
      <c r="A187" s="3" t="s">
        <v>698</v>
      </c>
      <c r="B187" s="3" t="s">
        <v>566</v>
      </c>
      <c r="C187" s="3" t="s">
        <v>651</v>
      </c>
      <c r="D187" s="3" t="s">
        <v>139</v>
      </c>
      <c r="E187" s="3" t="s">
        <v>45</v>
      </c>
      <c r="F187" s="3" t="s">
        <v>45</v>
      </c>
      <c r="G187" s="3"/>
      <c r="H187" s="3" t="s">
        <v>654</v>
      </c>
      <c r="I187" s="3" t="s">
        <v>16</v>
      </c>
      <c r="J187" s="3" t="s">
        <v>21</v>
      </c>
    </row>
    <row r="188" ht="15.75" customHeight="1">
      <c r="A188" s="3" t="s">
        <v>232</v>
      </c>
      <c r="B188" s="3" t="s">
        <v>566</v>
      </c>
      <c r="C188" s="3" t="s">
        <v>688</v>
      </c>
      <c r="D188" s="3" t="s">
        <v>139</v>
      </c>
      <c r="E188" s="3" t="s">
        <v>45</v>
      </c>
      <c r="F188" s="3" t="s">
        <v>45</v>
      </c>
      <c r="G188" s="3" t="s">
        <v>206</v>
      </c>
      <c r="H188" s="3" t="s">
        <v>689</v>
      </c>
      <c r="I188" s="3" t="s">
        <v>16</v>
      </c>
      <c r="J188" s="3" t="s">
        <v>21</v>
      </c>
    </row>
    <row r="189" ht="15.75" customHeight="1">
      <c r="A189" s="3" t="s">
        <v>699</v>
      </c>
      <c r="B189" s="3" t="s">
        <v>566</v>
      </c>
      <c r="C189" s="3" t="s">
        <v>651</v>
      </c>
      <c r="D189" s="3" t="s">
        <v>139</v>
      </c>
      <c r="E189" s="3" t="s">
        <v>45</v>
      </c>
      <c r="F189" s="3" t="s">
        <v>45</v>
      </c>
      <c r="G189" s="3"/>
      <c r="H189" s="3" t="s">
        <v>654</v>
      </c>
      <c r="I189" s="3" t="s">
        <v>16</v>
      </c>
      <c r="J189" s="3" t="s">
        <v>21</v>
      </c>
    </row>
    <row r="190" ht="15.75" customHeight="1">
      <c r="A190" s="3" t="s">
        <v>700</v>
      </c>
      <c r="B190" s="3" t="s">
        <v>566</v>
      </c>
      <c r="C190" s="3" t="s">
        <v>651</v>
      </c>
      <c r="D190" s="3" t="s">
        <v>139</v>
      </c>
      <c r="E190" s="3" t="s">
        <v>45</v>
      </c>
      <c r="F190" s="3" t="s">
        <v>45</v>
      </c>
      <c r="G190" s="3"/>
      <c r="H190" s="3" t="s">
        <v>654</v>
      </c>
      <c r="I190" s="3" t="s">
        <v>16</v>
      </c>
      <c r="J190" s="3" t="s">
        <v>21</v>
      </c>
    </row>
    <row r="191" ht="15.75" customHeight="1">
      <c r="A191" s="3" t="s">
        <v>233</v>
      </c>
      <c r="B191" s="3" t="s">
        <v>566</v>
      </c>
      <c r="C191" s="3" t="s">
        <v>651</v>
      </c>
      <c r="D191" s="3" t="s">
        <v>139</v>
      </c>
      <c r="E191" s="3" t="s">
        <v>45</v>
      </c>
      <c r="F191" s="3" t="s">
        <v>45</v>
      </c>
      <c r="G191" s="3" t="s">
        <v>117</v>
      </c>
      <c r="H191" s="3" t="s">
        <v>652</v>
      </c>
      <c r="I191" s="3" t="s">
        <v>235</v>
      </c>
      <c r="J191" s="3" t="s">
        <v>37</v>
      </c>
    </row>
    <row r="192" ht="15.75" customHeight="1">
      <c r="A192" s="3" t="s">
        <v>238</v>
      </c>
      <c r="B192" s="3" t="s">
        <v>566</v>
      </c>
      <c r="C192" s="3" t="s">
        <v>688</v>
      </c>
      <c r="D192" s="3" t="s">
        <v>139</v>
      </c>
      <c r="E192" s="3" t="s">
        <v>45</v>
      </c>
      <c r="F192" s="3" t="s">
        <v>45</v>
      </c>
      <c r="G192" s="3" t="s">
        <v>206</v>
      </c>
      <c r="H192" s="3" t="s">
        <v>689</v>
      </c>
      <c r="I192" s="3" t="s">
        <v>16</v>
      </c>
      <c r="J192" s="3" t="s">
        <v>21</v>
      </c>
    </row>
    <row r="193" ht="15.75" customHeight="1">
      <c r="A193" s="3" t="s">
        <v>701</v>
      </c>
      <c r="B193" s="3" t="s">
        <v>566</v>
      </c>
      <c r="C193" s="3" t="s">
        <v>651</v>
      </c>
      <c r="D193" s="3" t="s">
        <v>139</v>
      </c>
      <c r="E193" s="3" t="s">
        <v>45</v>
      </c>
      <c r="F193" s="3" t="s">
        <v>45</v>
      </c>
      <c r="G193" s="3"/>
      <c r="H193" s="3" t="s">
        <v>654</v>
      </c>
      <c r="I193" s="3" t="s">
        <v>16</v>
      </c>
      <c r="J193" s="3" t="s">
        <v>21</v>
      </c>
    </row>
    <row r="194" ht="15.75" customHeight="1">
      <c r="A194" s="3" t="s">
        <v>242</v>
      </c>
      <c r="B194" s="3" t="s">
        <v>566</v>
      </c>
      <c r="C194" s="3" t="s">
        <v>702</v>
      </c>
      <c r="D194" s="3" t="s">
        <v>139</v>
      </c>
      <c r="E194" s="3" t="s">
        <v>45</v>
      </c>
      <c r="F194" s="3" t="s">
        <v>45</v>
      </c>
      <c r="G194" s="3" t="s">
        <v>243</v>
      </c>
      <c r="H194" s="3" t="s">
        <v>703</v>
      </c>
      <c r="I194" s="3" t="s">
        <v>155</v>
      </c>
      <c r="J194" s="3" t="s">
        <v>18</v>
      </c>
    </row>
    <row r="195" ht="15.75" customHeight="1">
      <c r="A195" s="3" t="s">
        <v>246</v>
      </c>
      <c r="B195" s="3" t="s">
        <v>566</v>
      </c>
      <c r="C195" s="3" t="s">
        <v>702</v>
      </c>
      <c r="D195" s="3" t="s">
        <v>139</v>
      </c>
      <c r="E195" s="3" t="s">
        <v>45</v>
      </c>
      <c r="F195" s="3" t="s">
        <v>45</v>
      </c>
      <c r="G195" s="3" t="s">
        <v>243</v>
      </c>
      <c r="H195" s="3" t="s">
        <v>703</v>
      </c>
      <c r="I195" s="3" t="s">
        <v>164</v>
      </c>
      <c r="J195" s="3" t="s">
        <v>18</v>
      </c>
    </row>
    <row r="196" ht="15.75" customHeight="1">
      <c r="A196" s="3" t="s">
        <v>247</v>
      </c>
      <c r="B196" s="3" t="s">
        <v>566</v>
      </c>
      <c r="C196" s="3" t="s">
        <v>688</v>
      </c>
      <c r="D196" s="3" t="s">
        <v>139</v>
      </c>
      <c r="E196" s="3" t="s">
        <v>45</v>
      </c>
      <c r="F196" s="3" t="s">
        <v>45</v>
      </c>
      <c r="G196" s="3" t="s">
        <v>206</v>
      </c>
      <c r="H196" s="3" t="s">
        <v>689</v>
      </c>
      <c r="I196" s="3" t="s">
        <v>16</v>
      </c>
      <c r="J196" s="3" t="s">
        <v>21</v>
      </c>
    </row>
    <row r="197" ht="15.75" customHeight="1">
      <c r="A197" s="3" t="s">
        <v>251</v>
      </c>
      <c r="B197" s="3" t="s">
        <v>566</v>
      </c>
      <c r="C197" s="3" t="s">
        <v>688</v>
      </c>
      <c r="D197" s="3" t="s">
        <v>139</v>
      </c>
      <c r="E197" s="3" t="s">
        <v>45</v>
      </c>
      <c r="F197" s="3" t="s">
        <v>45</v>
      </c>
      <c r="G197" s="3" t="s">
        <v>206</v>
      </c>
      <c r="H197" s="3" t="s">
        <v>689</v>
      </c>
      <c r="I197" s="3" t="s">
        <v>16</v>
      </c>
      <c r="J197" s="3" t="s">
        <v>21</v>
      </c>
    </row>
    <row r="198" ht="15.75" customHeight="1">
      <c r="A198" s="3" t="s">
        <v>147</v>
      </c>
      <c r="B198" s="3" t="s">
        <v>566</v>
      </c>
      <c r="C198" s="3" t="s">
        <v>651</v>
      </c>
      <c r="D198" s="3" t="s">
        <v>139</v>
      </c>
      <c r="E198" s="3" t="s">
        <v>45</v>
      </c>
      <c r="F198" s="3" t="s">
        <v>45</v>
      </c>
      <c r="G198" s="3"/>
      <c r="H198" s="3" t="s">
        <v>654</v>
      </c>
      <c r="I198" s="3" t="s">
        <v>16</v>
      </c>
      <c r="J198" s="3" t="s">
        <v>21</v>
      </c>
    </row>
    <row r="199" ht="15.75" customHeight="1">
      <c r="A199" s="3" t="s">
        <v>704</v>
      </c>
      <c r="B199" s="3" t="s">
        <v>566</v>
      </c>
      <c r="C199" s="3" t="s">
        <v>651</v>
      </c>
      <c r="D199" s="3" t="s">
        <v>139</v>
      </c>
      <c r="E199" s="3" t="s">
        <v>45</v>
      </c>
      <c r="F199" s="3" t="s">
        <v>45</v>
      </c>
      <c r="G199" s="3"/>
      <c r="H199" s="3" t="s">
        <v>654</v>
      </c>
      <c r="I199" s="3" t="s">
        <v>16</v>
      </c>
      <c r="J199" s="3" t="s">
        <v>21</v>
      </c>
    </row>
    <row r="200" ht="15.75" customHeight="1">
      <c r="A200" s="3" t="s">
        <v>190</v>
      </c>
      <c r="B200" s="3" t="s">
        <v>566</v>
      </c>
      <c r="C200" s="3" t="s">
        <v>651</v>
      </c>
      <c r="D200" s="3" t="s">
        <v>139</v>
      </c>
      <c r="E200" s="3" t="s">
        <v>45</v>
      </c>
      <c r="F200" s="3" t="s">
        <v>45</v>
      </c>
      <c r="G200" s="3"/>
      <c r="H200" s="3" t="s">
        <v>654</v>
      </c>
      <c r="I200" s="3" t="s">
        <v>16</v>
      </c>
      <c r="J200" s="3" t="s">
        <v>21</v>
      </c>
    </row>
    <row r="201" ht="15.75" customHeight="1">
      <c r="A201" s="3" t="s">
        <v>252</v>
      </c>
      <c r="B201" s="3" t="s">
        <v>566</v>
      </c>
      <c r="C201" s="3" t="s">
        <v>649</v>
      </c>
      <c r="D201" s="3" t="s">
        <v>139</v>
      </c>
      <c r="E201" s="3" t="s">
        <v>45</v>
      </c>
      <c r="F201" s="3" t="s">
        <v>45</v>
      </c>
      <c r="G201" s="3" t="s">
        <v>112</v>
      </c>
      <c r="H201" s="3" t="s">
        <v>650</v>
      </c>
      <c r="I201" s="3" t="s">
        <v>16</v>
      </c>
      <c r="J201" s="3" t="s">
        <v>21</v>
      </c>
    </row>
    <row r="202" ht="15.75" customHeight="1">
      <c r="A202" s="3" t="s">
        <v>705</v>
      </c>
      <c r="B202" s="3" t="s">
        <v>566</v>
      </c>
      <c r="C202" s="3" t="s">
        <v>651</v>
      </c>
      <c r="D202" s="3" t="s">
        <v>139</v>
      </c>
      <c r="E202" s="3" t="s">
        <v>45</v>
      </c>
      <c r="F202" s="3" t="s">
        <v>45</v>
      </c>
      <c r="G202" s="3"/>
      <c r="H202" s="3" t="s">
        <v>654</v>
      </c>
      <c r="I202" s="3" t="s">
        <v>16</v>
      </c>
      <c r="J202" s="3" t="s">
        <v>21</v>
      </c>
    </row>
    <row r="203" ht="15.75" customHeight="1">
      <c r="A203" s="3" t="s">
        <v>256</v>
      </c>
      <c r="B203" s="3" t="s">
        <v>566</v>
      </c>
      <c r="C203" s="3" t="s">
        <v>688</v>
      </c>
      <c r="D203" s="3" t="s">
        <v>139</v>
      </c>
      <c r="E203" s="3" t="s">
        <v>45</v>
      </c>
      <c r="F203" s="3" t="s">
        <v>45</v>
      </c>
      <c r="G203" s="3" t="s">
        <v>206</v>
      </c>
      <c r="H203" s="3" t="s">
        <v>689</v>
      </c>
      <c r="I203" s="3" t="s">
        <v>16</v>
      </c>
      <c r="J203" s="3" t="s">
        <v>21</v>
      </c>
    </row>
    <row r="204" ht="15.75" customHeight="1">
      <c r="A204" s="3" t="s">
        <v>259</v>
      </c>
      <c r="B204" s="3" t="s">
        <v>566</v>
      </c>
      <c r="C204" s="3" t="s">
        <v>651</v>
      </c>
      <c r="D204" s="3" t="s">
        <v>139</v>
      </c>
      <c r="E204" s="3" t="s">
        <v>45</v>
      </c>
      <c r="F204" s="3" t="s">
        <v>45</v>
      </c>
      <c r="G204" s="3" t="s">
        <v>117</v>
      </c>
      <c r="H204" s="3" t="s">
        <v>652</v>
      </c>
      <c r="I204" s="3" t="s">
        <v>226</v>
      </c>
      <c r="J204" s="3" t="s">
        <v>37</v>
      </c>
    </row>
    <row r="205" ht="15.75" customHeight="1">
      <c r="A205" s="3" t="s">
        <v>706</v>
      </c>
      <c r="B205" s="3" t="s">
        <v>566</v>
      </c>
      <c r="C205" s="3" t="s">
        <v>651</v>
      </c>
      <c r="D205" s="3" t="s">
        <v>139</v>
      </c>
      <c r="E205" s="3" t="s">
        <v>45</v>
      </c>
      <c r="F205" s="3" t="s">
        <v>45</v>
      </c>
      <c r="G205" s="3"/>
      <c r="H205" s="3" t="s">
        <v>654</v>
      </c>
      <c r="I205" s="3" t="s">
        <v>16</v>
      </c>
      <c r="J205" s="3" t="s">
        <v>21</v>
      </c>
    </row>
    <row r="206" ht="15.75" customHeight="1">
      <c r="A206" s="3" t="s">
        <v>261</v>
      </c>
      <c r="B206" s="3" t="s">
        <v>566</v>
      </c>
      <c r="C206" s="3" t="s">
        <v>651</v>
      </c>
      <c r="D206" s="3" t="s">
        <v>139</v>
      </c>
      <c r="E206" s="3" t="s">
        <v>45</v>
      </c>
      <c r="F206" s="3" t="s">
        <v>45</v>
      </c>
      <c r="G206" s="3" t="s">
        <v>117</v>
      </c>
      <c r="H206" s="3" t="s">
        <v>652</v>
      </c>
      <c r="I206" s="3" t="s">
        <v>235</v>
      </c>
      <c r="J206" s="3" t="s">
        <v>37</v>
      </c>
    </row>
    <row r="207" ht="15.75" customHeight="1">
      <c r="A207" s="3" t="s">
        <v>707</v>
      </c>
      <c r="B207" s="3" t="s">
        <v>566</v>
      </c>
      <c r="C207" s="3" t="s">
        <v>651</v>
      </c>
      <c r="D207" s="3" t="s">
        <v>139</v>
      </c>
      <c r="E207" s="3" t="s">
        <v>45</v>
      </c>
      <c r="F207" s="3" t="s">
        <v>45</v>
      </c>
      <c r="G207" s="3"/>
      <c r="H207" s="3" t="s">
        <v>654</v>
      </c>
      <c r="I207" s="3" t="s">
        <v>16</v>
      </c>
      <c r="J207" s="3" t="s">
        <v>21</v>
      </c>
    </row>
    <row r="208" ht="15.75" customHeight="1">
      <c r="A208" s="3" t="s">
        <v>708</v>
      </c>
      <c r="B208" s="3" t="s">
        <v>566</v>
      </c>
      <c r="C208" s="3" t="s">
        <v>651</v>
      </c>
      <c r="D208" s="3" t="s">
        <v>139</v>
      </c>
      <c r="E208" s="3" t="s">
        <v>45</v>
      </c>
      <c r="F208" s="3" t="s">
        <v>45</v>
      </c>
      <c r="G208" s="3"/>
      <c r="H208" s="3" t="s">
        <v>654</v>
      </c>
      <c r="I208" s="3" t="s">
        <v>16</v>
      </c>
      <c r="J208" s="3" t="s">
        <v>21</v>
      </c>
    </row>
    <row r="209" ht="15.75" customHeight="1">
      <c r="A209" s="3" t="s">
        <v>127</v>
      </c>
      <c r="B209" s="3" t="s">
        <v>566</v>
      </c>
      <c r="C209" s="3" t="s">
        <v>651</v>
      </c>
      <c r="D209" s="3" t="s">
        <v>139</v>
      </c>
      <c r="E209" s="3" t="s">
        <v>45</v>
      </c>
      <c r="F209" s="3" t="s">
        <v>45</v>
      </c>
      <c r="G209" s="3"/>
      <c r="H209" s="3" t="s">
        <v>654</v>
      </c>
      <c r="I209" s="3" t="s">
        <v>16</v>
      </c>
      <c r="J209" s="3" t="s">
        <v>21</v>
      </c>
    </row>
    <row r="210" ht="15.75" customHeight="1">
      <c r="A210" s="3" t="s">
        <v>264</v>
      </c>
      <c r="B210" s="3" t="s">
        <v>566</v>
      </c>
      <c r="C210" s="3" t="s">
        <v>688</v>
      </c>
      <c r="D210" s="3" t="s">
        <v>139</v>
      </c>
      <c r="E210" s="3" t="s">
        <v>45</v>
      </c>
      <c r="F210" s="3" t="s">
        <v>45</v>
      </c>
      <c r="G210" s="3" t="s">
        <v>206</v>
      </c>
      <c r="H210" s="3" t="s">
        <v>689</v>
      </c>
      <c r="I210" s="3" t="s">
        <v>16</v>
      </c>
      <c r="J210" s="3" t="s">
        <v>21</v>
      </c>
    </row>
    <row r="211" ht="15.75" customHeight="1">
      <c r="A211" s="3" t="s">
        <v>709</v>
      </c>
      <c r="B211" s="3" t="s">
        <v>566</v>
      </c>
      <c r="C211" s="3" t="s">
        <v>651</v>
      </c>
      <c r="D211" s="3" t="s">
        <v>139</v>
      </c>
      <c r="E211" s="3" t="s">
        <v>45</v>
      </c>
      <c r="F211" s="3" t="s">
        <v>45</v>
      </c>
      <c r="G211" s="3"/>
      <c r="H211" s="3" t="s">
        <v>654</v>
      </c>
      <c r="I211" s="3" t="s">
        <v>16</v>
      </c>
      <c r="J211" s="3" t="s">
        <v>21</v>
      </c>
    </row>
    <row r="212" ht="15.75" customHeight="1">
      <c r="A212" s="3" t="s">
        <v>268</v>
      </c>
      <c r="B212" s="3" t="s">
        <v>566</v>
      </c>
      <c r="C212" s="3" t="s">
        <v>651</v>
      </c>
      <c r="D212" s="3" t="s">
        <v>139</v>
      </c>
      <c r="E212" s="3" t="s">
        <v>45</v>
      </c>
      <c r="F212" s="3" t="s">
        <v>45</v>
      </c>
      <c r="G212" s="3" t="s">
        <v>117</v>
      </c>
      <c r="H212" s="3" t="s">
        <v>652</v>
      </c>
      <c r="I212" s="3" t="s">
        <v>269</v>
      </c>
      <c r="J212" s="3" t="s">
        <v>37</v>
      </c>
    </row>
    <row r="213" ht="15.75" customHeight="1">
      <c r="A213" s="3" t="s">
        <v>710</v>
      </c>
      <c r="B213" s="3" t="s">
        <v>566</v>
      </c>
      <c r="C213" s="3" t="s">
        <v>651</v>
      </c>
      <c r="D213" s="3" t="s">
        <v>139</v>
      </c>
      <c r="E213" s="3" t="s">
        <v>45</v>
      </c>
      <c r="F213" s="3" t="s">
        <v>45</v>
      </c>
      <c r="G213" s="3"/>
      <c r="H213" s="3" t="s">
        <v>654</v>
      </c>
      <c r="I213" s="3" t="s">
        <v>16</v>
      </c>
      <c r="J213" s="3" t="s">
        <v>21</v>
      </c>
    </row>
    <row r="214" ht="15.75" customHeight="1">
      <c r="A214" s="3" t="s">
        <v>210</v>
      </c>
      <c r="B214" s="3" t="s">
        <v>566</v>
      </c>
      <c r="C214" s="3" t="s">
        <v>651</v>
      </c>
      <c r="D214" s="3" t="s">
        <v>139</v>
      </c>
      <c r="E214" s="3" t="s">
        <v>45</v>
      </c>
      <c r="F214" s="3" t="s">
        <v>45</v>
      </c>
      <c r="G214" s="3"/>
      <c r="H214" s="3" t="s">
        <v>654</v>
      </c>
      <c r="I214" s="3" t="s">
        <v>16</v>
      </c>
      <c r="J214" s="3" t="s">
        <v>21</v>
      </c>
    </row>
    <row r="215" ht="15.75" customHeight="1">
      <c r="A215" s="3" t="s">
        <v>711</v>
      </c>
      <c r="B215" s="3" t="s">
        <v>566</v>
      </c>
      <c r="C215" s="3" t="s">
        <v>651</v>
      </c>
      <c r="D215" s="3" t="s">
        <v>139</v>
      </c>
      <c r="E215" s="3" t="s">
        <v>45</v>
      </c>
      <c r="F215" s="3" t="s">
        <v>45</v>
      </c>
      <c r="G215" s="3"/>
      <c r="H215" s="3" t="s">
        <v>654</v>
      </c>
      <c r="I215" s="3" t="s">
        <v>16</v>
      </c>
      <c r="J215" s="3" t="s">
        <v>21</v>
      </c>
    </row>
    <row r="216" ht="15.75" customHeight="1">
      <c r="A216" s="3" t="s">
        <v>271</v>
      </c>
      <c r="B216" s="3" t="s">
        <v>566</v>
      </c>
      <c r="C216" s="3" t="s">
        <v>649</v>
      </c>
      <c r="D216" s="3" t="s">
        <v>139</v>
      </c>
      <c r="E216" s="3" t="s">
        <v>45</v>
      </c>
      <c r="F216" s="3" t="s">
        <v>45</v>
      </c>
      <c r="G216" s="3" t="s">
        <v>112</v>
      </c>
      <c r="H216" s="3" t="s">
        <v>650</v>
      </c>
      <c r="I216" s="3" t="s">
        <v>16</v>
      </c>
      <c r="J216" s="3" t="s">
        <v>21</v>
      </c>
    </row>
    <row r="217" ht="15.75" customHeight="1">
      <c r="A217" s="3" t="s">
        <v>712</v>
      </c>
      <c r="B217" s="3" t="s">
        <v>566</v>
      </c>
      <c r="C217" s="3" t="s">
        <v>651</v>
      </c>
      <c r="D217" s="3" t="s">
        <v>139</v>
      </c>
      <c r="E217" s="3" t="s">
        <v>45</v>
      </c>
      <c r="F217" s="3" t="s">
        <v>45</v>
      </c>
      <c r="G217" s="3"/>
      <c r="H217" s="3" t="s">
        <v>654</v>
      </c>
      <c r="I217" s="3" t="s">
        <v>16</v>
      </c>
      <c r="J217" s="3" t="s">
        <v>21</v>
      </c>
    </row>
    <row r="218" ht="15.75" customHeight="1">
      <c r="A218" s="3" t="s">
        <v>713</v>
      </c>
      <c r="B218" s="3" t="s">
        <v>566</v>
      </c>
      <c r="C218" s="3" t="s">
        <v>651</v>
      </c>
      <c r="D218" s="3" t="s">
        <v>139</v>
      </c>
      <c r="E218" s="3" t="s">
        <v>45</v>
      </c>
      <c r="F218" s="3" t="s">
        <v>45</v>
      </c>
      <c r="G218" s="3"/>
      <c r="H218" s="3" t="s">
        <v>654</v>
      </c>
      <c r="I218" s="3" t="s">
        <v>16</v>
      </c>
      <c r="J218" s="3" t="s">
        <v>21</v>
      </c>
    </row>
    <row r="219" ht="15.75" customHeight="1">
      <c r="A219" s="3" t="s">
        <v>276</v>
      </c>
      <c r="B219" s="3" t="s">
        <v>566</v>
      </c>
      <c r="C219" s="3" t="s">
        <v>688</v>
      </c>
      <c r="D219" s="3" t="s">
        <v>139</v>
      </c>
      <c r="E219" s="3" t="s">
        <v>45</v>
      </c>
      <c r="F219" s="3" t="s">
        <v>45</v>
      </c>
      <c r="G219" s="3" t="s">
        <v>206</v>
      </c>
      <c r="H219" s="3" t="s">
        <v>689</v>
      </c>
      <c r="I219" s="3" t="s">
        <v>16</v>
      </c>
      <c r="J219" s="3" t="s">
        <v>21</v>
      </c>
    </row>
    <row r="220" ht="15.75" customHeight="1">
      <c r="A220" s="3" t="s">
        <v>714</v>
      </c>
      <c r="B220" s="3" t="s">
        <v>566</v>
      </c>
      <c r="C220" s="3" t="s">
        <v>651</v>
      </c>
      <c r="D220" s="3" t="s">
        <v>139</v>
      </c>
      <c r="E220" s="3" t="s">
        <v>45</v>
      </c>
      <c r="F220" s="3" t="s">
        <v>45</v>
      </c>
      <c r="G220" s="3"/>
      <c r="H220" s="3" t="s">
        <v>654</v>
      </c>
      <c r="I220" s="3" t="s">
        <v>16</v>
      </c>
      <c r="J220" s="3" t="s">
        <v>21</v>
      </c>
    </row>
    <row r="221" ht="15.75" customHeight="1">
      <c r="A221" s="3" t="s">
        <v>715</v>
      </c>
      <c r="B221" s="3" t="s">
        <v>566</v>
      </c>
      <c r="C221" s="3" t="s">
        <v>651</v>
      </c>
      <c r="D221" s="3" t="s">
        <v>139</v>
      </c>
      <c r="E221" s="3" t="s">
        <v>45</v>
      </c>
      <c r="F221" s="3" t="s">
        <v>45</v>
      </c>
      <c r="G221" s="3"/>
      <c r="H221" s="3" t="s">
        <v>654</v>
      </c>
      <c r="I221" s="3" t="s">
        <v>16</v>
      </c>
      <c r="J221" s="3" t="s">
        <v>21</v>
      </c>
    </row>
    <row r="222" ht="15.75" customHeight="1">
      <c r="A222" s="3" t="s">
        <v>716</v>
      </c>
      <c r="B222" s="3" t="s">
        <v>566</v>
      </c>
      <c r="C222" s="3" t="s">
        <v>651</v>
      </c>
      <c r="D222" s="3" t="s">
        <v>139</v>
      </c>
      <c r="E222" s="3" t="s">
        <v>45</v>
      </c>
      <c r="F222" s="3" t="s">
        <v>45</v>
      </c>
      <c r="G222" s="3"/>
      <c r="H222" s="3" t="s">
        <v>654</v>
      </c>
      <c r="I222" s="3" t="s">
        <v>16</v>
      </c>
      <c r="J222" s="3" t="s">
        <v>21</v>
      </c>
    </row>
    <row r="223" ht="15.75" customHeight="1">
      <c r="A223" s="3" t="s">
        <v>717</v>
      </c>
      <c r="B223" s="3" t="s">
        <v>566</v>
      </c>
      <c r="C223" s="3" t="s">
        <v>651</v>
      </c>
      <c r="D223" s="3" t="s">
        <v>139</v>
      </c>
      <c r="E223" s="3" t="s">
        <v>45</v>
      </c>
      <c r="F223" s="3" t="s">
        <v>45</v>
      </c>
      <c r="G223" s="3"/>
      <c r="H223" s="3" t="s">
        <v>654</v>
      </c>
      <c r="I223" s="3" t="s">
        <v>16</v>
      </c>
      <c r="J223" s="3" t="s">
        <v>21</v>
      </c>
    </row>
    <row r="224" ht="15.75" customHeight="1">
      <c r="A224" s="3" t="s">
        <v>718</v>
      </c>
      <c r="B224" s="3" t="s">
        <v>566</v>
      </c>
      <c r="C224" s="3" t="s">
        <v>651</v>
      </c>
      <c r="D224" s="3" t="s">
        <v>139</v>
      </c>
      <c r="E224" s="3" t="s">
        <v>45</v>
      </c>
      <c r="F224" s="3" t="s">
        <v>45</v>
      </c>
      <c r="G224" s="3"/>
      <c r="H224" s="3" t="s">
        <v>654</v>
      </c>
      <c r="I224" s="3" t="s">
        <v>16</v>
      </c>
      <c r="J224" s="3" t="s">
        <v>21</v>
      </c>
    </row>
    <row r="225" ht="15.75" customHeight="1">
      <c r="A225" s="3" t="s">
        <v>278</v>
      </c>
      <c r="B225" s="3" t="s">
        <v>566</v>
      </c>
      <c r="C225" s="3" t="s">
        <v>649</v>
      </c>
      <c r="D225" s="3" t="s">
        <v>139</v>
      </c>
      <c r="E225" s="3" t="s">
        <v>45</v>
      </c>
      <c r="F225" s="3" t="s">
        <v>45</v>
      </c>
      <c r="G225" s="3" t="s">
        <v>112</v>
      </c>
      <c r="H225" s="3" t="s">
        <v>650</v>
      </c>
      <c r="I225" s="3" t="s">
        <v>16</v>
      </c>
      <c r="J225" s="3" t="s">
        <v>21</v>
      </c>
    </row>
    <row r="226" ht="15.75" customHeight="1">
      <c r="A226" s="3" t="s">
        <v>281</v>
      </c>
      <c r="B226" s="3" t="s">
        <v>566</v>
      </c>
      <c r="C226" s="3" t="s">
        <v>688</v>
      </c>
      <c r="D226" s="3" t="s">
        <v>139</v>
      </c>
      <c r="E226" s="3" t="s">
        <v>45</v>
      </c>
      <c r="F226" s="3" t="s">
        <v>45</v>
      </c>
      <c r="G226" s="3" t="s">
        <v>206</v>
      </c>
      <c r="H226" s="3" t="s">
        <v>689</v>
      </c>
      <c r="I226" s="3" t="s">
        <v>16</v>
      </c>
      <c r="J226" s="3" t="s">
        <v>21</v>
      </c>
    </row>
    <row r="227" ht="15.75" customHeight="1">
      <c r="A227" s="3" t="s">
        <v>719</v>
      </c>
      <c r="B227" s="3" t="s">
        <v>566</v>
      </c>
      <c r="C227" s="3" t="s">
        <v>651</v>
      </c>
      <c r="D227" s="3" t="s">
        <v>139</v>
      </c>
      <c r="E227" s="3" t="s">
        <v>45</v>
      </c>
      <c r="F227" s="3" t="s">
        <v>45</v>
      </c>
      <c r="G227" s="3"/>
      <c r="H227" s="3" t="s">
        <v>654</v>
      </c>
      <c r="I227" s="3" t="s">
        <v>16</v>
      </c>
      <c r="J227" s="3" t="s">
        <v>21</v>
      </c>
    </row>
    <row r="228" ht="15.75" customHeight="1">
      <c r="A228" s="3" t="s">
        <v>720</v>
      </c>
      <c r="B228" s="3" t="s">
        <v>566</v>
      </c>
      <c r="C228" s="3" t="s">
        <v>651</v>
      </c>
      <c r="D228" s="3" t="s">
        <v>139</v>
      </c>
      <c r="E228" s="3" t="s">
        <v>45</v>
      </c>
      <c r="F228" s="3" t="s">
        <v>45</v>
      </c>
      <c r="G228" s="3"/>
      <c r="H228" s="3" t="s">
        <v>654</v>
      </c>
      <c r="I228" s="3" t="s">
        <v>16</v>
      </c>
      <c r="J228" s="3" t="s">
        <v>21</v>
      </c>
    </row>
    <row r="229" ht="15.75" customHeight="1">
      <c r="A229" s="3" t="s">
        <v>124</v>
      </c>
      <c r="B229" s="3" t="s">
        <v>566</v>
      </c>
      <c r="C229" s="3" t="s">
        <v>651</v>
      </c>
      <c r="D229" s="3" t="s">
        <v>139</v>
      </c>
      <c r="E229" s="3" t="s">
        <v>45</v>
      </c>
      <c r="F229" s="3" t="s">
        <v>45</v>
      </c>
      <c r="G229" s="3"/>
      <c r="H229" s="3" t="s">
        <v>654</v>
      </c>
      <c r="I229" s="3" t="s">
        <v>16</v>
      </c>
      <c r="J229" s="3" t="s">
        <v>21</v>
      </c>
    </row>
    <row r="230" ht="15.75" customHeight="1">
      <c r="A230" s="3" t="s">
        <v>721</v>
      </c>
      <c r="B230" s="3" t="s">
        <v>566</v>
      </c>
      <c r="C230" s="3" t="s">
        <v>651</v>
      </c>
      <c r="D230" s="3" t="s">
        <v>139</v>
      </c>
      <c r="E230" s="3" t="s">
        <v>45</v>
      </c>
      <c r="F230" s="3" t="s">
        <v>45</v>
      </c>
      <c r="G230" s="3"/>
      <c r="H230" s="3" t="s">
        <v>654</v>
      </c>
      <c r="I230" s="3" t="s">
        <v>16</v>
      </c>
      <c r="J230" s="3" t="s">
        <v>21</v>
      </c>
    </row>
    <row r="231" ht="15.75" customHeight="1">
      <c r="A231" s="3" t="s">
        <v>722</v>
      </c>
      <c r="B231" s="3" t="s">
        <v>566</v>
      </c>
      <c r="C231" s="3" t="s">
        <v>651</v>
      </c>
      <c r="D231" s="3" t="s">
        <v>139</v>
      </c>
      <c r="E231" s="3" t="s">
        <v>45</v>
      </c>
      <c r="F231" s="3" t="s">
        <v>45</v>
      </c>
      <c r="G231" s="3"/>
      <c r="H231" s="3" t="s">
        <v>654</v>
      </c>
      <c r="I231" s="3" t="s">
        <v>16</v>
      </c>
      <c r="J231" s="3" t="s">
        <v>21</v>
      </c>
    </row>
    <row r="232" ht="15.75" customHeight="1">
      <c r="A232" s="3" t="s">
        <v>723</v>
      </c>
      <c r="B232" s="3" t="s">
        <v>566</v>
      </c>
      <c r="C232" s="3" t="s">
        <v>651</v>
      </c>
      <c r="D232" s="3" t="s">
        <v>139</v>
      </c>
      <c r="E232" s="3" t="s">
        <v>45</v>
      </c>
      <c r="F232" s="3" t="s">
        <v>45</v>
      </c>
      <c r="G232" s="3"/>
      <c r="H232" s="3" t="s">
        <v>654</v>
      </c>
      <c r="I232" s="3" t="s">
        <v>16</v>
      </c>
      <c r="J232" s="3" t="s">
        <v>21</v>
      </c>
    </row>
    <row r="233" ht="15.75" customHeight="1">
      <c r="A233" s="3" t="s">
        <v>724</v>
      </c>
      <c r="B233" s="3" t="s">
        <v>566</v>
      </c>
      <c r="C233" s="3" t="s">
        <v>651</v>
      </c>
      <c r="D233" s="3" t="s">
        <v>139</v>
      </c>
      <c r="E233" s="3" t="s">
        <v>45</v>
      </c>
      <c r="F233" s="3" t="s">
        <v>45</v>
      </c>
      <c r="G233" s="3"/>
      <c r="H233" s="3" t="s">
        <v>654</v>
      </c>
      <c r="I233" s="3" t="s">
        <v>16</v>
      </c>
      <c r="J233" s="3" t="s">
        <v>21</v>
      </c>
    </row>
    <row r="234" ht="15.75" customHeight="1">
      <c r="A234" s="3" t="s">
        <v>725</v>
      </c>
      <c r="B234" s="3" t="s">
        <v>566</v>
      </c>
      <c r="C234" s="3" t="s">
        <v>651</v>
      </c>
      <c r="D234" s="3" t="s">
        <v>139</v>
      </c>
      <c r="E234" s="3" t="s">
        <v>45</v>
      </c>
      <c r="F234" s="3" t="s">
        <v>45</v>
      </c>
      <c r="G234" s="3"/>
      <c r="H234" s="3" t="s">
        <v>654</v>
      </c>
      <c r="I234" s="3" t="s">
        <v>16</v>
      </c>
      <c r="J234" s="3" t="s">
        <v>21</v>
      </c>
    </row>
    <row r="235" ht="15.75" customHeight="1">
      <c r="A235" s="3" t="s">
        <v>116</v>
      </c>
      <c r="B235" s="3" t="s">
        <v>566</v>
      </c>
      <c r="C235" s="3" t="s">
        <v>651</v>
      </c>
      <c r="D235" s="3" t="s">
        <v>139</v>
      </c>
      <c r="E235" s="3" t="s">
        <v>45</v>
      </c>
      <c r="F235" s="3" t="s">
        <v>45</v>
      </c>
      <c r="G235" s="3"/>
      <c r="H235" s="3" t="s">
        <v>654</v>
      </c>
      <c r="I235" s="3" t="s">
        <v>16</v>
      </c>
      <c r="J235" s="3" t="s">
        <v>21</v>
      </c>
    </row>
    <row r="236" ht="15.75" customHeight="1">
      <c r="A236" s="3" t="s">
        <v>726</v>
      </c>
      <c r="B236" s="3" t="s">
        <v>566</v>
      </c>
      <c r="C236" s="3" t="s">
        <v>651</v>
      </c>
      <c r="D236" s="3" t="s">
        <v>139</v>
      </c>
      <c r="E236" s="3" t="s">
        <v>45</v>
      </c>
      <c r="F236" s="3" t="s">
        <v>45</v>
      </c>
      <c r="G236" s="3"/>
      <c r="H236" s="3" t="s">
        <v>654</v>
      </c>
      <c r="I236" s="3" t="s">
        <v>16</v>
      </c>
      <c r="J236" s="3" t="s">
        <v>21</v>
      </c>
    </row>
    <row r="237" ht="15.75" customHeight="1">
      <c r="A237" s="3" t="s">
        <v>283</v>
      </c>
      <c r="B237" s="3" t="s">
        <v>566</v>
      </c>
      <c r="C237" s="3" t="s">
        <v>651</v>
      </c>
      <c r="D237" s="3" t="s">
        <v>139</v>
      </c>
      <c r="E237" s="3" t="s">
        <v>45</v>
      </c>
      <c r="F237" s="3" t="s">
        <v>45</v>
      </c>
      <c r="G237" s="3" t="s">
        <v>117</v>
      </c>
      <c r="H237" s="3" t="s">
        <v>652</v>
      </c>
      <c r="I237" s="3" t="s">
        <v>284</v>
      </c>
      <c r="J237" s="3" t="s">
        <v>37</v>
      </c>
    </row>
    <row r="238" ht="15.75" customHeight="1">
      <c r="A238" s="3" t="s">
        <v>727</v>
      </c>
      <c r="B238" s="3" t="s">
        <v>566</v>
      </c>
      <c r="C238" s="3" t="s">
        <v>651</v>
      </c>
      <c r="D238" s="3" t="s">
        <v>139</v>
      </c>
      <c r="E238" s="3" t="s">
        <v>45</v>
      </c>
      <c r="F238" s="3" t="s">
        <v>45</v>
      </c>
      <c r="G238" s="3"/>
      <c r="H238" s="3" t="s">
        <v>654</v>
      </c>
      <c r="I238" s="3" t="s">
        <v>16</v>
      </c>
      <c r="J238" s="3" t="s">
        <v>21</v>
      </c>
    </row>
    <row r="239" ht="15.75" customHeight="1">
      <c r="A239" s="3" t="s">
        <v>728</v>
      </c>
      <c r="B239" s="3" t="s">
        <v>566</v>
      </c>
      <c r="C239" s="3" t="s">
        <v>651</v>
      </c>
      <c r="D239" s="3" t="s">
        <v>139</v>
      </c>
      <c r="E239" s="3" t="s">
        <v>45</v>
      </c>
      <c r="F239" s="3" t="s">
        <v>45</v>
      </c>
      <c r="G239" s="3"/>
      <c r="H239" s="3" t="s">
        <v>654</v>
      </c>
      <c r="I239" s="3" t="s">
        <v>16</v>
      </c>
      <c r="J239" s="3" t="s">
        <v>21</v>
      </c>
    </row>
    <row r="240" ht="15.75" customHeight="1">
      <c r="A240" s="3" t="s">
        <v>729</v>
      </c>
      <c r="B240" s="3" t="s">
        <v>566</v>
      </c>
      <c r="C240" s="3" t="s">
        <v>651</v>
      </c>
      <c r="D240" s="3" t="s">
        <v>139</v>
      </c>
      <c r="E240" s="3" t="s">
        <v>45</v>
      </c>
      <c r="F240" s="3" t="s">
        <v>45</v>
      </c>
      <c r="G240" s="3"/>
      <c r="H240" s="3" t="s">
        <v>654</v>
      </c>
      <c r="I240" s="3" t="s">
        <v>16</v>
      </c>
      <c r="J240" s="3" t="s">
        <v>21</v>
      </c>
    </row>
    <row r="241" ht="15.75" customHeight="1">
      <c r="A241" s="3" t="s">
        <v>730</v>
      </c>
      <c r="B241" s="3" t="s">
        <v>566</v>
      </c>
      <c r="C241" s="3" t="s">
        <v>651</v>
      </c>
      <c r="D241" s="3" t="s">
        <v>139</v>
      </c>
      <c r="E241" s="3" t="s">
        <v>45</v>
      </c>
      <c r="F241" s="3" t="s">
        <v>45</v>
      </c>
      <c r="G241" s="3"/>
      <c r="H241" s="3" t="s">
        <v>654</v>
      </c>
      <c r="I241" s="3" t="s">
        <v>16</v>
      </c>
      <c r="J241" s="3" t="s">
        <v>21</v>
      </c>
    </row>
    <row r="242" ht="15.75" customHeight="1">
      <c r="A242" s="3" t="s">
        <v>731</v>
      </c>
      <c r="B242" s="3" t="s">
        <v>566</v>
      </c>
      <c r="C242" s="3" t="s">
        <v>651</v>
      </c>
      <c r="D242" s="3" t="s">
        <v>139</v>
      </c>
      <c r="E242" s="3" t="s">
        <v>45</v>
      </c>
      <c r="F242" s="3" t="s">
        <v>45</v>
      </c>
      <c r="G242" s="3"/>
      <c r="H242" s="3" t="s">
        <v>654</v>
      </c>
      <c r="I242" s="3" t="s">
        <v>16</v>
      </c>
      <c r="J242" s="3" t="s">
        <v>21</v>
      </c>
    </row>
    <row r="243" ht="15.75" customHeight="1">
      <c r="A243" s="3" t="s">
        <v>732</v>
      </c>
      <c r="B243" s="3" t="s">
        <v>566</v>
      </c>
      <c r="C243" s="3" t="s">
        <v>651</v>
      </c>
      <c r="D243" s="3" t="s">
        <v>139</v>
      </c>
      <c r="E243" s="3" t="s">
        <v>45</v>
      </c>
      <c r="F243" s="3" t="s">
        <v>45</v>
      </c>
      <c r="G243" s="3"/>
      <c r="H243" s="3" t="s">
        <v>654</v>
      </c>
      <c r="I243" s="3" t="s">
        <v>16</v>
      </c>
      <c r="J243" s="3" t="s">
        <v>21</v>
      </c>
    </row>
    <row r="244" ht="15.75" customHeight="1">
      <c r="A244" s="3" t="s">
        <v>733</v>
      </c>
      <c r="B244" s="3" t="s">
        <v>566</v>
      </c>
      <c r="C244" s="3" t="s">
        <v>651</v>
      </c>
      <c r="D244" s="3" t="s">
        <v>139</v>
      </c>
      <c r="E244" s="3" t="s">
        <v>45</v>
      </c>
      <c r="F244" s="3" t="s">
        <v>45</v>
      </c>
      <c r="G244" s="3"/>
      <c r="H244" s="3" t="s">
        <v>654</v>
      </c>
      <c r="I244" s="3" t="s">
        <v>16</v>
      </c>
      <c r="J244" s="3" t="s">
        <v>21</v>
      </c>
    </row>
    <row r="245" ht="15.75" customHeight="1">
      <c r="A245" s="3" t="s">
        <v>734</v>
      </c>
      <c r="B245" s="3" t="s">
        <v>566</v>
      </c>
      <c r="C245" s="3" t="s">
        <v>651</v>
      </c>
      <c r="D245" s="3" t="s">
        <v>139</v>
      </c>
      <c r="E245" s="3" t="s">
        <v>45</v>
      </c>
      <c r="F245" s="3" t="s">
        <v>45</v>
      </c>
      <c r="G245" s="3"/>
      <c r="H245" s="3" t="s">
        <v>654</v>
      </c>
      <c r="I245" s="3" t="s">
        <v>16</v>
      </c>
      <c r="J245" s="3" t="s">
        <v>21</v>
      </c>
    </row>
    <row r="246" ht="15.75" customHeight="1">
      <c r="A246" s="3" t="s">
        <v>162</v>
      </c>
      <c r="B246" s="3" t="s">
        <v>566</v>
      </c>
      <c r="C246" s="3" t="s">
        <v>651</v>
      </c>
      <c r="D246" s="3" t="s">
        <v>139</v>
      </c>
      <c r="E246" s="3" t="s">
        <v>45</v>
      </c>
      <c r="F246" s="3" t="s">
        <v>45</v>
      </c>
      <c r="G246" s="3"/>
      <c r="H246" s="3" t="s">
        <v>654</v>
      </c>
      <c r="I246" s="3" t="s">
        <v>16</v>
      </c>
      <c r="J246" s="3" t="s">
        <v>21</v>
      </c>
    </row>
    <row r="247" ht="15.75" customHeight="1">
      <c r="A247" s="3" t="s">
        <v>286</v>
      </c>
      <c r="B247" s="3" t="s">
        <v>566</v>
      </c>
      <c r="C247" s="3" t="s">
        <v>651</v>
      </c>
      <c r="D247" s="3" t="s">
        <v>139</v>
      </c>
      <c r="E247" s="3" t="s">
        <v>45</v>
      </c>
      <c r="F247" s="3" t="s">
        <v>45</v>
      </c>
      <c r="G247" s="3" t="s">
        <v>117</v>
      </c>
      <c r="H247" s="3" t="s">
        <v>652</v>
      </c>
      <c r="I247" s="3" t="s">
        <v>288</v>
      </c>
      <c r="J247" s="3" t="s">
        <v>37</v>
      </c>
    </row>
    <row r="248" ht="15.75" customHeight="1">
      <c r="A248" s="3" t="s">
        <v>735</v>
      </c>
      <c r="B248" s="3" t="s">
        <v>566</v>
      </c>
      <c r="C248" s="3" t="s">
        <v>651</v>
      </c>
      <c r="D248" s="3" t="s">
        <v>139</v>
      </c>
      <c r="E248" s="3" t="s">
        <v>45</v>
      </c>
      <c r="F248" s="3" t="s">
        <v>45</v>
      </c>
      <c r="G248" s="3"/>
      <c r="H248" s="3" t="s">
        <v>654</v>
      </c>
      <c r="I248" s="3" t="s">
        <v>16</v>
      </c>
      <c r="J248" s="3" t="s">
        <v>21</v>
      </c>
    </row>
    <row r="249" ht="15.75" customHeight="1">
      <c r="A249" s="3" t="s">
        <v>736</v>
      </c>
      <c r="B249" s="3" t="s">
        <v>566</v>
      </c>
      <c r="C249" s="3" t="s">
        <v>651</v>
      </c>
      <c r="D249" s="3" t="s">
        <v>139</v>
      </c>
      <c r="E249" s="3" t="s">
        <v>45</v>
      </c>
      <c r="F249" s="3" t="s">
        <v>45</v>
      </c>
      <c r="G249" s="3"/>
      <c r="H249" s="3" t="s">
        <v>654</v>
      </c>
      <c r="I249" s="3" t="s">
        <v>16</v>
      </c>
      <c r="J249" s="3" t="s">
        <v>21</v>
      </c>
    </row>
    <row r="250" ht="15.75" customHeight="1">
      <c r="A250" s="3" t="s">
        <v>737</v>
      </c>
      <c r="B250" s="3" t="s">
        <v>566</v>
      </c>
      <c r="C250" s="3" t="s">
        <v>651</v>
      </c>
      <c r="D250" s="3" t="s">
        <v>139</v>
      </c>
      <c r="E250" s="3" t="s">
        <v>45</v>
      </c>
      <c r="F250" s="3" t="s">
        <v>45</v>
      </c>
      <c r="G250" s="3"/>
      <c r="H250" s="3" t="s">
        <v>654</v>
      </c>
      <c r="I250" s="3" t="s">
        <v>16</v>
      </c>
      <c r="J250" s="3" t="s">
        <v>21</v>
      </c>
    </row>
    <row r="251" ht="15.75" customHeight="1">
      <c r="A251" s="3" t="s">
        <v>738</v>
      </c>
      <c r="B251" s="3" t="s">
        <v>566</v>
      </c>
      <c r="C251" s="3" t="s">
        <v>651</v>
      </c>
      <c r="D251" s="3" t="s">
        <v>139</v>
      </c>
      <c r="E251" s="3" t="s">
        <v>45</v>
      </c>
      <c r="F251" s="3" t="s">
        <v>45</v>
      </c>
      <c r="G251" s="3"/>
      <c r="H251" s="3" t="s">
        <v>654</v>
      </c>
      <c r="I251" s="3" t="s">
        <v>16</v>
      </c>
      <c r="J251" s="3" t="s">
        <v>21</v>
      </c>
    </row>
    <row r="252" ht="15.75" customHeight="1">
      <c r="A252" s="3" t="s">
        <v>290</v>
      </c>
      <c r="B252" s="3" t="s">
        <v>566</v>
      </c>
      <c r="C252" s="3" t="s">
        <v>649</v>
      </c>
      <c r="D252" s="3" t="s">
        <v>139</v>
      </c>
      <c r="E252" s="3" t="s">
        <v>45</v>
      </c>
      <c r="F252" s="3" t="s">
        <v>45</v>
      </c>
      <c r="G252" s="3" t="s">
        <v>112</v>
      </c>
      <c r="H252" s="3" t="s">
        <v>650</v>
      </c>
      <c r="I252" s="3" t="s">
        <v>16</v>
      </c>
      <c r="J252" s="3" t="s">
        <v>21</v>
      </c>
    </row>
    <row r="253" ht="15.75" customHeight="1">
      <c r="A253" s="3" t="s">
        <v>292</v>
      </c>
      <c r="B253" s="3" t="s">
        <v>566</v>
      </c>
      <c r="C253" s="3" t="s">
        <v>688</v>
      </c>
      <c r="D253" s="3" t="s">
        <v>139</v>
      </c>
      <c r="E253" s="3" t="s">
        <v>45</v>
      </c>
      <c r="F253" s="3" t="s">
        <v>45</v>
      </c>
      <c r="G253" s="3" t="s">
        <v>206</v>
      </c>
      <c r="H253" s="3" t="s">
        <v>689</v>
      </c>
      <c r="I253" s="3" t="s">
        <v>16</v>
      </c>
      <c r="J253" s="3" t="s">
        <v>21</v>
      </c>
    </row>
    <row r="254" ht="15.75" customHeight="1">
      <c r="A254" s="3" t="s">
        <v>739</v>
      </c>
      <c r="B254" s="3" t="s">
        <v>566</v>
      </c>
      <c r="C254" s="3" t="s">
        <v>651</v>
      </c>
      <c r="D254" s="3" t="s">
        <v>139</v>
      </c>
      <c r="E254" s="3" t="s">
        <v>45</v>
      </c>
      <c r="F254" s="3" t="s">
        <v>45</v>
      </c>
      <c r="G254" s="3"/>
      <c r="H254" s="3" t="s">
        <v>654</v>
      </c>
      <c r="I254" s="3" t="s">
        <v>16</v>
      </c>
      <c r="J254" s="3" t="s">
        <v>21</v>
      </c>
    </row>
    <row r="255" ht="15.75" customHeight="1">
      <c r="A255" s="3" t="s">
        <v>740</v>
      </c>
      <c r="B255" s="3" t="s">
        <v>566</v>
      </c>
      <c r="C255" s="3" t="s">
        <v>651</v>
      </c>
      <c r="D255" s="3" t="s">
        <v>139</v>
      </c>
      <c r="E255" s="3" t="s">
        <v>45</v>
      </c>
      <c r="F255" s="3" t="s">
        <v>45</v>
      </c>
      <c r="G255" s="3"/>
      <c r="H255" s="3" t="s">
        <v>654</v>
      </c>
      <c r="I255" s="3" t="s">
        <v>16</v>
      </c>
      <c r="J255" s="3" t="s">
        <v>21</v>
      </c>
    </row>
    <row r="256" ht="15.75" customHeight="1">
      <c r="A256" s="3" t="s">
        <v>288</v>
      </c>
      <c r="B256" s="3" t="s">
        <v>566</v>
      </c>
      <c r="C256" s="3" t="s">
        <v>651</v>
      </c>
      <c r="D256" s="3" t="s">
        <v>139</v>
      </c>
      <c r="E256" s="3" t="s">
        <v>45</v>
      </c>
      <c r="F256" s="3" t="s">
        <v>45</v>
      </c>
      <c r="G256" s="3"/>
      <c r="H256" s="3" t="s">
        <v>654</v>
      </c>
      <c r="I256" s="3" t="s">
        <v>16</v>
      </c>
      <c r="J256" s="3" t="s">
        <v>21</v>
      </c>
    </row>
    <row r="257" ht="15.75" customHeight="1">
      <c r="A257" s="3" t="s">
        <v>741</v>
      </c>
      <c r="B257" s="3" t="s">
        <v>566</v>
      </c>
      <c r="C257" s="3" t="s">
        <v>651</v>
      </c>
      <c r="D257" s="3" t="s">
        <v>139</v>
      </c>
      <c r="E257" s="3" t="s">
        <v>45</v>
      </c>
      <c r="F257" s="3" t="s">
        <v>45</v>
      </c>
      <c r="G257" s="3"/>
      <c r="H257" s="3" t="s">
        <v>654</v>
      </c>
      <c r="I257" s="3" t="s">
        <v>16</v>
      </c>
      <c r="J257" s="3" t="s">
        <v>21</v>
      </c>
    </row>
    <row r="258" ht="15.75" customHeight="1">
      <c r="A258" s="3" t="s">
        <v>742</v>
      </c>
      <c r="B258" s="3" t="s">
        <v>566</v>
      </c>
      <c r="C258" s="3" t="s">
        <v>651</v>
      </c>
      <c r="D258" s="3" t="s">
        <v>139</v>
      </c>
      <c r="E258" s="3" t="s">
        <v>45</v>
      </c>
      <c r="F258" s="3" t="s">
        <v>45</v>
      </c>
      <c r="G258" s="3"/>
      <c r="H258" s="3" t="s">
        <v>654</v>
      </c>
      <c r="I258" s="3" t="s">
        <v>16</v>
      </c>
      <c r="J258" s="3" t="s">
        <v>21</v>
      </c>
    </row>
    <row r="259" ht="15.75" customHeight="1">
      <c r="A259" s="3" t="s">
        <v>294</v>
      </c>
      <c r="B259" s="3" t="s">
        <v>566</v>
      </c>
      <c r="C259" s="3" t="s">
        <v>688</v>
      </c>
      <c r="D259" s="3" t="s">
        <v>139</v>
      </c>
      <c r="E259" s="3" t="s">
        <v>45</v>
      </c>
      <c r="F259" s="3" t="s">
        <v>45</v>
      </c>
      <c r="G259" s="3" t="s">
        <v>206</v>
      </c>
      <c r="H259" s="3" t="s">
        <v>689</v>
      </c>
      <c r="I259" s="3" t="s">
        <v>16</v>
      </c>
      <c r="J259" s="3" t="s">
        <v>21</v>
      </c>
    </row>
    <row r="260" ht="15.75" customHeight="1">
      <c r="A260" s="3" t="s">
        <v>297</v>
      </c>
      <c r="B260" s="3" t="s">
        <v>566</v>
      </c>
      <c r="C260" s="3" t="s">
        <v>688</v>
      </c>
      <c r="D260" s="3" t="s">
        <v>139</v>
      </c>
      <c r="E260" s="3" t="s">
        <v>45</v>
      </c>
      <c r="F260" s="3" t="s">
        <v>45</v>
      </c>
      <c r="G260" s="3" t="s">
        <v>206</v>
      </c>
      <c r="H260" s="3" t="s">
        <v>689</v>
      </c>
      <c r="I260" s="3" t="s">
        <v>16</v>
      </c>
      <c r="J260" s="3" t="s">
        <v>21</v>
      </c>
    </row>
    <row r="261" ht="15.75" customHeight="1">
      <c r="A261" s="3" t="s">
        <v>743</v>
      </c>
      <c r="B261" s="3" t="s">
        <v>566</v>
      </c>
      <c r="C261" s="3" t="s">
        <v>651</v>
      </c>
      <c r="D261" s="3" t="s">
        <v>139</v>
      </c>
      <c r="E261" s="3" t="s">
        <v>45</v>
      </c>
      <c r="F261" s="3" t="s">
        <v>45</v>
      </c>
      <c r="G261" s="3"/>
      <c r="H261" s="3" t="s">
        <v>654</v>
      </c>
      <c r="I261" s="3" t="s">
        <v>16</v>
      </c>
      <c r="J261" s="3" t="s">
        <v>21</v>
      </c>
    </row>
    <row r="262" ht="15.75" customHeight="1">
      <c r="A262" s="3" t="s">
        <v>744</v>
      </c>
      <c r="B262" s="3" t="s">
        <v>566</v>
      </c>
      <c r="C262" s="3" t="s">
        <v>651</v>
      </c>
      <c r="D262" s="3" t="s">
        <v>139</v>
      </c>
      <c r="E262" s="3" t="s">
        <v>45</v>
      </c>
      <c r="F262" s="3" t="s">
        <v>45</v>
      </c>
      <c r="G262" s="3"/>
      <c r="H262" s="3" t="s">
        <v>654</v>
      </c>
      <c r="I262" s="3" t="s">
        <v>16</v>
      </c>
      <c r="J262" s="3" t="s">
        <v>21</v>
      </c>
    </row>
    <row r="263" ht="15.75" customHeight="1">
      <c r="A263" s="3" t="s">
        <v>302</v>
      </c>
      <c r="B263" s="3" t="s">
        <v>566</v>
      </c>
      <c r="C263" s="3" t="s">
        <v>688</v>
      </c>
      <c r="D263" s="3" t="s">
        <v>139</v>
      </c>
      <c r="E263" s="3" t="s">
        <v>45</v>
      </c>
      <c r="F263" s="3" t="s">
        <v>45</v>
      </c>
      <c r="G263" s="3" t="s">
        <v>206</v>
      </c>
      <c r="H263" s="3" t="s">
        <v>689</v>
      </c>
      <c r="I263" s="3" t="s">
        <v>16</v>
      </c>
      <c r="J263" s="3" t="s">
        <v>21</v>
      </c>
    </row>
    <row r="264" ht="15.75" customHeight="1">
      <c r="A264" s="3" t="s">
        <v>745</v>
      </c>
      <c r="B264" s="3" t="s">
        <v>566</v>
      </c>
      <c r="C264" s="3" t="s">
        <v>651</v>
      </c>
      <c r="D264" s="3" t="s">
        <v>139</v>
      </c>
      <c r="E264" s="3" t="s">
        <v>45</v>
      </c>
      <c r="F264" s="3" t="s">
        <v>45</v>
      </c>
      <c r="G264" s="3"/>
      <c r="H264" s="3" t="s">
        <v>654</v>
      </c>
      <c r="I264" s="3" t="s">
        <v>16</v>
      </c>
      <c r="J264" s="3" t="s">
        <v>21</v>
      </c>
    </row>
    <row r="265" ht="15.75" customHeight="1">
      <c r="A265" s="3" t="s">
        <v>746</v>
      </c>
      <c r="B265" s="3" t="s">
        <v>566</v>
      </c>
      <c r="C265" s="3" t="s">
        <v>651</v>
      </c>
      <c r="D265" s="3" t="s">
        <v>139</v>
      </c>
      <c r="E265" s="3" t="s">
        <v>45</v>
      </c>
      <c r="F265" s="3" t="s">
        <v>45</v>
      </c>
      <c r="G265" s="3"/>
      <c r="H265" s="3" t="s">
        <v>654</v>
      </c>
      <c r="I265" s="3" t="s">
        <v>16</v>
      </c>
      <c r="J265" s="3" t="s">
        <v>21</v>
      </c>
    </row>
    <row r="266" ht="15.75" customHeight="1">
      <c r="A266" s="3" t="s">
        <v>747</v>
      </c>
      <c r="B266" s="3" t="s">
        <v>566</v>
      </c>
      <c r="C266" s="3" t="s">
        <v>651</v>
      </c>
      <c r="D266" s="3" t="s">
        <v>139</v>
      </c>
      <c r="E266" s="3" t="s">
        <v>45</v>
      </c>
      <c r="F266" s="3" t="s">
        <v>45</v>
      </c>
      <c r="G266" s="3"/>
      <c r="H266" s="3" t="s">
        <v>654</v>
      </c>
      <c r="I266" s="3" t="s">
        <v>16</v>
      </c>
      <c r="J266" s="3" t="s">
        <v>21</v>
      </c>
    </row>
    <row r="267" ht="15.75" customHeight="1">
      <c r="A267" s="3" t="s">
        <v>306</v>
      </c>
      <c r="B267" s="3" t="s">
        <v>566</v>
      </c>
      <c r="C267" s="3" t="s">
        <v>688</v>
      </c>
      <c r="D267" s="3" t="s">
        <v>139</v>
      </c>
      <c r="E267" s="3" t="s">
        <v>45</v>
      </c>
      <c r="F267" s="3" t="s">
        <v>45</v>
      </c>
      <c r="G267" s="3" t="s">
        <v>206</v>
      </c>
      <c r="H267" s="3" t="s">
        <v>689</v>
      </c>
      <c r="I267" s="3" t="s">
        <v>16</v>
      </c>
      <c r="J267" s="3" t="s">
        <v>21</v>
      </c>
    </row>
    <row r="268" ht="15.75" customHeight="1">
      <c r="A268" s="3" t="s">
        <v>748</v>
      </c>
      <c r="B268" s="3" t="s">
        <v>566</v>
      </c>
      <c r="C268" s="3" t="s">
        <v>651</v>
      </c>
      <c r="D268" s="3" t="s">
        <v>139</v>
      </c>
      <c r="E268" s="3" t="s">
        <v>45</v>
      </c>
      <c r="F268" s="3" t="s">
        <v>45</v>
      </c>
      <c r="G268" s="3"/>
      <c r="H268" s="3" t="s">
        <v>654</v>
      </c>
      <c r="I268" s="3" t="s">
        <v>16</v>
      </c>
      <c r="J268" s="3" t="s">
        <v>21</v>
      </c>
    </row>
    <row r="269" ht="15.75" customHeight="1">
      <c r="A269" s="3" t="s">
        <v>749</v>
      </c>
      <c r="B269" s="3" t="s">
        <v>566</v>
      </c>
      <c r="C269" s="3" t="s">
        <v>651</v>
      </c>
      <c r="D269" s="3" t="s">
        <v>139</v>
      </c>
      <c r="E269" s="3" t="s">
        <v>45</v>
      </c>
      <c r="F269" s="3" t="s">
        <v>45</v>
      </c>
      <c r="G269" s="3"/>
      <c r="H269" s="3" t="s">
        <v>654</v>
      </c>
      <c r="I269" s="3" t="s">
        <v>16</v>
      </c>
      <c r="J269" s="3" t="s">
        <v>21</v>
      </c>
    </row>
    <row r="270" ht="15.75" customHeight="1">
      <c r="A270" s="3" t="s">
        <v>307</v>
      </c>
      <c r="B270" s="3" t="s">
        <v>566</v>
      </c>
      <c r="C270" s="3" t="s">
        <v>649</v>
      </c>
      <c r="D270" s="3" t="s">
        <v>139</v>
      </c>
      <c r="E270" s="3" t="s">
        <v>45</v>
      </c>
      <c r="F270" s="3" t="s">
        <v>45</v>
      </c>
      <c r="G270" s="3" t="s">
        <v>112</v>
      </c>
      <c r="H270" s="3" t="s">
        <v>650</v>
      </c>
      <c r="I270" s="3" t="s">
        <v>16</v>
      </c>
      <c r="J270" s="3" t="s">
        <v>21</v>
      </c>
    </row>
    <row r="271" ht="15.75" customHeight="1">
      <c r="A271" s="3" t="s">
        <v>312</v>
      </c>
      <c r="B271" s="3" t="s">
        <v>566</v>
      </c>
      <c r="C271" s="3" t="s">
        <v>688</v>
      </c>
      <c r="D271" s="3" t="s">
        <v>139</v>
      </c>
      <c r="E271" s="3" t="s">
        <v>45</v>
      </c>
      <c r="F271" s="3" t="s">
        <v>45</v>
      </c>
      <c r="G271" s="3" t="s">
        <v>206</v>
      </c>
      <c r="H271" s="3" t="s">
        <v>689</v>
      </c>
      <c r="I271" s="3" t="s">
        <v>16</v>
      </c>
      <c r="J271" s="3" t="s">
        <v>21</v>
      </c>
    </row>
    <row r="272" ht="15.75" customHeight="1">
      <c r="A272" s="3" t="s">
        <v>313</v>
      </c>
      <c r="B272" s="3" t="s">
        <v>566</v>
      </c>
      <c r="C272" s="3" t="s">
        <v>688</v>
      </c>
      <c r="D272" s="3" t="s">
        <v>139</v>
      </c>
      <c r="E272" s="3" t="s">
        <v>45</v>
      </c>
      <c r="F272" s="3" t="s">
        <v>45</v>
      </c>
      <c r="G272" s="3" t="s">
        <v>206</v>
      </c>
      <c r="H272" s="3" t="s">
        <v>689</v>
      </c>
      <c r="I272" s="3" t="s">
        <v>16</v>
      </c>
      <c r="J272" s="3" t="s">
        <v>21</v>
      </c>
    </row>
    <row r="273" ht="15.75" customHeight="1">
      <c r="A273" s="3" t="s">
        <v>750</v>
      </c>
      <c r="B273" s="3" t="s">
        <v>566</v>
      </c>
      <c r="C273" s="3" t="s">
        <v>651</v>
      </c>
      <c r="D273" s="3" t="s">
        <v>139</v>
      </c>
      <c r="E273" s="3" t="s">
        <v>45</v>
      </c>
      <c r="F273" s="3" t="s">
        <v>45</v>
      </c>
      <c r="G273" s="3"/>
      <c r="H273" s="3" t="s">
        <v>654</v>
      </c>
      <c r="I273" s="3" t="s">
        <v>16</v>
      </c>
      <c r="J273" s="3" t="s">
        <v>21</v>
      </c>
    </row>
    <row r="274" ht="15.75" customHeight="1">
      <c r="A274" s="3" t="s">
        <v>751</v>
      </c>
      <c r="B274" s="3" t="s">
        <v>566</v>
      </c>
      <c r="C274" s="3" t="s">
        <v>651</v>
      </c>
      <c r="D274" s="3" t="s">
        <v>139</v>
      </c>
      <c r="E274" s="3" t="s">
        <v>45</v>
      </c>
      <c r="F274" s="3" t="s">
        <v>45</v>
      </c>
      <c r="G274" s="3"/>
      <c r="H274" s="3" t="s">
        <v>654</v>
      </c>
      <c r="I274" s="3" t="s">
        <v>16</v>
      </c>
      <c r="J274" s="3" t="s">
        <v>21</v>
      </c>
    </row>
    <row r="275" ht="15.75" customHeight="1">
      <c r="A275" s="3" t="s">
        <v>752</v>
      </c>
      <c r="B275" s="3" t="s">
        <v>566</v>
      </c>
      <c r="C275" s="3" t="s">
        <v>651</v>
      </c>
      <c r="D275" s="3" t="s">
        <v>139</v>
      </c>
      <c r="E275" s="3" t="s">
        <v>45</v>
      </c>
      <c r="F275" s="3" t="s">
        <v>45</v>
      </c>
      <c r="G275" s="3"/>
      <c r="H275" s="3" t="s">
        <v>654</v>
      </c>
      <c r="I275" s="3" t="s">
        <v>16</v>
      </c>
      <c r="J275" s="3" t="s">
        <v>21</v>
      </c>
    </row>
    <row r="276" ht="15.75" customHeight="1">
      <c r="A276" s="3" t="s">
        <v>317</v>
      </c>
      <c r="B276" s="3" t="s">
        <v>566</v>
      </c>
      <c r="C276" s="3" t="s">
        <v>688</v>
      </c>
      <c r="D276" s="3" t="s">
        <v>139</v>
      </c>
      <c r="E276" s="3" t="s">
        <v>45</v>
      </c>
      <c r="F276" s="3" t="s">
        <v>45</v>
      </c>
      <c r="G276" s="3" t="s">
        <v>206</v>
      </c>
      <c r="H276" s="3" t="s">
        <v>689</v>
      </c>
      <c r="I276" s="3" t="s">
        <v>16</v>
      </c>
      <c r="J276" s="3" t="s">
        <v>21</v>
      </c>
    </row>
    <row r="277" ht="15.75" customHeight="1">
      <c r="A277" s="3" t="s">
        <v>753</v>
      </c>
      <c r="B277" s="3" t="s">
        <v>566</v>
      </c>
      <c r="C277" s="3" t="s">
        <v>651</v>
      </c>
      <c r="D277" s="3" t="s">
        <v>139</v>
      </c>
      <c r="E277" s="3" t="s">
        <v>45</v>
      </c>
      <c r="F277" s="3" t="s">
        <v>45</v>
      </c>
      <c r="G277" s="3"/>
      <c r="H277" s="3" t="s">
        <v>654</v>
      </c>
      <c r="I277" s="3" t="s">
        <v>16</v>
      </c>
      <c r="J277" s="3" t="s">
        <v>21</v>
      </c>
    </row>
    <row r="278" ht="15.75" customHeight="1">
      <c r="A278" s="3" t="s">
        <v>754</v>
      </c>
      <c r="B278" s="3" t="s">
        <v>566</v>
      </c>
      <c r="C278" s="3" t="s">
        <v>651</v>
      </c>
      <c r="D278" s="3" t="s">
        <v>139</v>
      </c>
      <c r="E278" s="3" t="s">
        <v>45</v>
      </c>
      <c r="F278" s="3" t="s">
        <v>45</v>
      </c>
      <c r="G278" s="3"/>
      <c r="H278" s="3" t="s">
        <v>654</v>
      </c>
      <c r="I278" s="3" t="s">
        <v>16</v>
      </c>
      <c r="J278" s="3" t="s">
        <v>21</v>
      </c>
    </row>
    <row r="279" ht="15.75" customHeight="1">
      <c r="A279" s="3" t="s">
        <v>755</v>
      </c>
      <c r="B279" s="3" t="s">
        <v>566</v>
      </c>
      <c r="C279" s="3" t="s">
        <v>651</v>
      </c>
      <c r="D279" s="3" t="s">
        <v>139</v>
      </c>
      <c r="E279" s="3" t="s">
        <v>45</v>
      </c>
      <c r="F279" s="3" t="s">
        <v>45</v>
      </c>
      <c r="G279" s="3"/>
      <c r="H279" s="3" t="s">
        <v>654</v>
      </c>
      <c r="I279" s="3" t="s">
        <v>16</v>
      </c>
      <c r="J279" s="3" t="s">
        <v>21</v>
      </c>
    </row>
    <row r="280" ht="15.75" customHeight="1">
      <c r="A280" s="3" t="s">
        <v>756</v>
      </c>
      <c r="B280" s="3" t="s">
        <v>566</v>
      </c>
      <c r="C280" s="3" t="s">
        <v>651</v>
      </c>
      <c r="D280" s="3" t="s">
        <v>139</v>
      </c>
      <c r="E280" s="3" t="s">
        <v>45</v>
      </c>
      <c r="F280" s="3" t="s">
        <v>45</v>
      </c>
      <c r="G280" s="3"/>
      <c r="H280" s="3" t="s">
        <v>654</v>
      </c>
      <c r="I280" s="3" t="s">
        <v>16</v>
      </c>
      <c r="J280" s="3" t="s">
        <v>21</v>
      </c>
    </row>
    <row r="281" ht="15.75" customHeight="1">
      <c r="A281" s="3" t="s">
        <v>319</v>
      </c>
      <c r="B281" s="3" t="s">
        <v>566</v>
      </c>
      <c r="C281" s="3" t="s">
        <v>681</v>
      </c>
      <c r="D281" s="3" t="s">
        <v>139</v>
      </c>
      <c r="E281" s="3" t="s">
        <v>45</v>
      </c>
      <c r="F281" s="3" t="s">
        <v>45</v>
      </c>
      <c r="G281" s="3" t="s">
        <v>202</v>
      </c>
      <c r="H281" s="3" t="s">
        <v>682</v>
      </c>
      <c r="I281" s="3" t="s">
        <v>16</v>
      </c>
      <c r="J281" s="3" t="s">
        <v>21</v>
      </c>
    </row>
    <row r="282" ht="15.75" customHeight="1">
      <c r="A282" s="3" t="s">
        <v>321</v>
      </c>
      <c r="B282" s="3" t="s">
        <v>566</v>
      </c>
      <c r="C282" s="3" t="s">
        <v>681</v>
      </c>
      <c r="D282" s="3" t="s">
        <v>139</v>
      </c>
      <c r="E282" s="3" t="s">
        <v>45</v>
      </c>
      <c r="F282" s="3" t="s">
        <v>45</v>
      </c>
      <c r="G282" s="3" t="s">
        <v>202</v>
      </c>
      <c r="H282" s="3" t="s">
        <v>682</v>
      </c>
      <c r="I282" s="3" t="s">
        <v>16</v>
      </c>
      <c r="J282" s="3" t="s">
        <v>21</v>
      </c>
    </row>
    <row r="283" ht="15.75" customHeight="1">
      <c r="A283" s="3" t="s">
        <v>757</v>
      </c>
      <c r="B283" s="3" t="s">
        <v>566</v>
      </c>
      <c r="C283" s="3" t="s">
        <v>651</v>
      </c>
      <c r="D283" s="3" t="s">
        <v>139</v>
      </c>
      <c r="E283" s="3" t="s">
        <v>45</v>
      </c>
      <c r="F283" s="3" t="s">
        <v>45</v>
      </c>
      <c r="G283" s="3"/>
      <c r="H283" s="3" t="s">
        <v>654</v>
      </c>
      <c r="I283" s="3" t="s">
        <v>16</v>
      </c>
      <c r="J283" s="3" t="s">
        <v>21</v>
      </c>
    </row>
    <row r="284" ht="15.75" customHeight="1">
      <c r="A284" s="3" t="s">
        <v>758</v>
      </c>
      <c r="B284" s="3" t="s">
        <v>566</v>
      </c>
      <c r="C284" s="3" t="s">
        <v>651</v>
      </c>
      <c r="D284" s="3" t="s">
        <v>139</v>
      </c>
      <c r="E284" s="3" t="s">
        <v>45</v>
      </c>
      <c r="F284" s="3" t="s">
        <v>45</v>
      </c>
      <c r="G284" s="3"/>
      <c r="H284" s="3" t="s">
        <v>654</v>
      </c>
      <c r="I284" s="3" t="s">
        <v>16</v>
      </c>
      <c r="J284" s="3" t="s">
        <v>21</v>
      </c>
    </row>
    <row r="285" ht="15.75" customHeight="1">
      <c r="A285" s="3" t="s">
        <v>326</v>
      </c>
      <c r="B285" s="3" t="s">
        <v>566</v>
      </c>
      <c r="C285" s="3" t="s">
        <v>681</v>
      </c>
      <c r="D285" s="3" t="s">
        <v>139</v>
      </c>
      <c r="E285" s="3" t="s">
        <v>45</v>
      </c>
      <c r="F285" s="3" t="s">
        <v>45</v>
      </c>
      <c r="G285" s="3" t="s">
        <v>202</v>
      </c>
      <c r="H285" s="3" t="s">
        <v>682</v>
      </c>
      <c r="I285" s="3" t="s">
        <v>16</v>
      </c>
      <c r="J285" s="3" t="s">
        <v>21</v>
      </c>
    </row>
    <row r="286" ht="15.75" customHeight="1">
      <c r="A286" s="3" t="s">
        <v>759</v>
      </c>
      <c r="B286" s="3" t="s">
        <v>566</v>
      </c>
      <c r="C286" s="3" t="s">
        <v>651</v>
      </c>
      <c r="D286" s="3" t="s">
        <v>139</v>
      </c>
      <c r="E286" s="3" t="s">
        <v>45</v>
      </c>
      <c r="F286" s="3" t="s">
        <v>45</v>
      </c>
      <c r="G286" s="3"/>
      <c r="H286" s="3" t="s">
        <v>654</v>
      </c>
      <c r="I286" s="3" t="s">
        <v>16</v>
      </c>
      <c r="J286" s="3" t="s">
        <v>21</v>
      </c>
    </row>
    <row r="287" ht="15.75" customHeight="1">
      <c r="A287" s="3" t="s">
        <v>327</v>
      </c>
      <c r="B287" s="3" t="s">
        <v>566</v>
      </c>
      <c r="C287" s="3" t="s">
        <v>681</v>
      </c>
      <c r="D287" s="3" t="s">
        <v>139</v>
      </c>
      <c r="E287" s="3" t="s">
        <v>45</v>
      </c>
      <c r="F287" s="3" t="s">
        <v>45</v>
      </c>
      <c r="G287" s="3" t="s">
        <v>202</v>
      </c>
      <c r="H287" s="3" t="s">
        <v>682</v>
      </c>
      <c r="I287" s="3" t="s">
        <v>16</v>
      </c>
      <c r="J287" s="3" t="s">
        <v>21</v>
      </c>
    </row>
    <row r="288" ht="15.75" customHeight="1">
      <c r="A288" s="3" t="s">
        <v>332</v>
      </c>
      <c r="B288" s="3" t="s">
        <v>566</v>
      </c>
      <c r="C288" s="3" t="s">
        <v>688</v>
      </c>
      <c r="D288" s="3" t="s">
        <v>139</v>
      </c>
      <c r="E288" s="3" t="s">
        <v>45</v>
      </c>
      <c r="F288" s="3" t="s">
        <v>45</v>
      </c>
      <c r="G288" s="3" t="s">
        <v>206</v>
      </c>
      <c r="H288" s="3" t="s">
        <v>689</v>
      </c>
      <c r="I288" s="3" t="s">
        <v>16</v>
      </c>
      <c r="J288" s="3" t="s">
        <v>21</v>
      </c>
    </row>
    <row r="289" ht="15.75" customHeight="1">
      <c r="A289" s="3" t="s">
        <v>760</v>
      </c>
      <c r="B289" s="3" t="s">
        <v>566</v>
      </c>
      <c r="C289" s="3" t="s">
        <v>651</v>
      </c>
      <c r="D289" s="3" t="s">
        <v>139</v>
      </c>
      <c r="E289" s="3" t="s">
        <v>45</v>
      </c>
      <c r="F289" s="3" t="s">
        <v>45</v>
      </c>
      <c r="G289" s="3"/>
      <c r="H289" s="3" t="s">
        <v>654</v>
      </c>
      <c r="I289" s="3" t="s">
        <v>16</v>
      </c>
      <c r="J289" s="3" t="s">
        <v>21</v>
      </c>
    </row>
    <row r="290" ht="15.75" customHeight="1">
      <c r="A290" s="3" t="s">
        <v>761</v>
      </c>
      <c r="B290" s="3" t="s">
        <v>566</v>
      </c>
      <c r="C290" s="3" t="s">
        <v>651</v>
      </c>
      <c r="D290" s="3" t="s">
        <v>139</v>
      </c>
      <c r="E290" s="3" t="s">
        <v>45</v>
      </c>
      <c r="F290" s="3" t="s">
        <v>45</v>
      </c>
      <c r="G290" s="3"/>
      <c r="H290" s="3" t="s">
        <v>654</v>
      </c>
      <c r="I290" s="3" t="s">
        <v>16</v>
      </c>
      <c r="J290" s="3" t="s">
        <v>21</v>
      </c>
    </row>
    <row r="291" ht="15.75" customHeight="1">
      <c r="A291" s="3" t="s">
        <v>762</v>
      </c>
      <c r="B291" s="3" t="s">
        <v>566</v>
      </c>
      <c r="C291" s="3" t="s">
        <v>651</v>
      </c>
      <c r="D291" s="3" t="s">
        <v>139</v>
      </c>
      <c r="E291" s="3" t="s">
        <v>45</v>
      </c>
      <c r="F291" s="3" t="s">
        <v>45</v>
      </c>
      <c r="G291" s="3"/>
      <c r="H291" s="3" t="s">
        <v>654</v>
      </c>
      <c r="I291" s="3" t="s">
        <v>16</v>
      </c>
      <c r="J291" s="3" t="s">
        <v>21</v>
      </c>
    </row>
    <row r="292" ht="15.75" customHeight="1">
      <c r="A292" s="3" t="s">
        <v>763</v>
      </c>
      <c r="B292" s="3" t="s">
        <v>566</v>
      </c>
      <c r="C292" s="3" t="s">
        <v>651</v>
      </c>
      <c r="D292" s="3" t="s">
        <v>139</v>
      </c>
      <c r="E292" s="3" t="s">
        <v>45</v>
      </c>
      <c r="F292" s="3" t="s">
        <v>45</v>
      </c>
      <c r="G292" s="3"/>
      <c r="H292" s="3" t="s">
        <v>654</v>
      </c>
      <c r="I292" s="3" t="s">
        <v>16</v>
      </c>
      <c r="J292" s="3" t="s">
        <v>21</v>
      </c>
    </row>
    <row r="293" ht="15.75" customHeight="1">
      <c r="A293" s="3" t="s">
        <v>335</v>
      </c>
      <c r="B293" s="3" t="s">
        <v>566</v>
      </c>
      <c r="C293" s="3" t="s">
        <v>688</v>
      </c>
      <c r="D293" s="3" t="s">
        <v>139</v>
      </c>
      <c r="E293" s="3" t="s">
        <v>45</v>
      </c>
      <c r="F293" s="3" t="s">
        <v>45</v>
      </c>
      <c r="G293" s="3" t="s">
        <v>206</v>
      </c>
      <c r="H293" s="3" t="s">
        <v>689</v>
      </c>
      <c r="I293" s="3" t="s">
        <v>16</v>
      </c>
      <c r="J293" s="3" t="s">
        <v>21</v>
      </c>
    </row>
    <row r="294" ht="15.75" customHeight="1">
      <c r="A294" s="3" t="s">
        <v>339</v>
      </c>
      <c r="B294" s="3" t="s">
        <v>566</v>
      </c>
      <c r="C294" s="3" t="s">
        <v>649</v>
      </c>
      <c r="D294" s="3" t="s">
        <v>139</v>
      </c>
      <c r="E294" s="3" t="s">
        <v>45</v>
      </c>
      <c r="F294" s="3" t="s">
        <v>45</v>
      </c>
      <c r="G294" s="3" t="s">
        <v>112</v>
      </c>
      <c r="H294" s="3" t="s">
        <v>650</v>
      </c>
      <c r="I294" s="3" t="s">
        <v>16</v>
      </c>
      <c r="J294" s="3" t="s">
        <v>21</v>
      </c>
    </row>
    <row r="295" ht="15.75" customHeight="1">
      <c r="A295" s="3" t="s">
        <v>284</v>
      </c>
      <c r="B295" s="3" t="s">
        <v>566</v>
      </c>
      <c r="C295" s="3" t="s">
        <v>651</v>
      </c>
      <c r="D295" s="3" t="s">
        <v>139</v>
      </c>
      <c r="E295" s="3" t="s">
        <v>45</v>
      </c>
      <c r="F295" s="3" t="s">
        <v>45</v>
      </c>
      <c r="G295" s="3"/>
      <c r="H295" s="3" t="s">
        <v>654</v>
      </c>
      <c r="I295" s="3" t="s">
        <v>16</v>
      </c>
      <c r="J295" s="3" t="s">
        <v>21</v>
      </c>
    </row>
    <row r="296" ht="15.75" customHeight="1">
      <c r="A296" s="3" t="s">
        <v>764</v>
      </c>
      <c r="B296" s="3" t="s">
        <v>566</v>
      </c>
      <c r="C296" s="3" t="s">
        <v>651</v>
      </c>
      <c r="D296" s="3" t="s">
        <v>139</v>
      </c>
      <c r="E296" s="3" t="s">
        <v>45</v>
      </c>
      <c r="F296" s="3" t="s">
        <v>45</v>
      </c>
      <c r="G296" s="3"/>
      <c r="H296" s="3" t="s">
        <v>654</v>
      </c>
      <c r="I296" s="3" t="s">
        <v>16</v>
      </c>
      <c r="J296" s="3" t="s">
        <v>21</v>
      </c>
    </row>
    <row r="297" ht="15.75" customHeight="1">
      <c r="A297" s="3" t="s">
        <v>765</v>
      </c>
      <c r="B297" s="3" t="s">
        <v>566</v>
      </c>
      <c r="C297" s="3" t="s">
        <v>651</v>
      </c>
      <c r="D297" s="3" t="s">
        <v>139</v>
      </c>
      <c r="E297" s="3" t="s">
        <v>45</v>
      </c>
      <c r="F297" s="3" t="s">
        <v>45</v>
      </c>
      <c r="G297" s="3"/>
      <c r="H297" s="3" t="s">
        <v>654</v>
      </c>
      <c r="I297" s="3" t="s">
        <v>16</v>
      </c>
      <c r="J297" s="3" t="s">
        <v>21</v>
      </c>
    </row>
    <row r="298" ht="15.75" customHeight="1">
      <c r="A298" s="3" t="s">
        <v>766</v>
      </c>
      <c r="B298" s="3" t="s">
        <v>566</v>
      </c>
      <c r="C298" s="3" t="s">
        <v>651</v>
      </c>
      <c r="D298" s="3" t="s">
        <v>139</v>
      </c>
      <c r="E298" s="3" t="s">
        <v>45</v>
      </c>
      <c r="F298" s="3" t="s">
        <v>45</v>
      </c>
      <c r="G298" s="3"/>
      <c r="H298" s="3" t="s">
        <v>654</v>
      </c>
      <c r="I298" s="3" t="s">
        <v>16</v>
      </c>
      <c r="J298" s="3" t="s">
        <v>21</v>
      </c>
    </row>
    <row r="299" ht="15.75" customHeight="1">
      <c r="A299" s="3" t="s">
        <v>767</v>
      </c>
      <c r="B299" s="3" t="s">
        <v>566</v>
      </c>
      <c r="C299" s="3" t="s">
        <v>651</v>
      </c>
      <c r="D299" s="3" t="s">
        <v>139</v>
      </c>
      <c r="E299" s="3" t="s">
        <v>45</v>
      </c>
      <c r="F299" s="3" t="s">
        <v>45</v>
      </c>
      <c r="G299" s="3"/>
      <c r="H299" s="3" t="s">
        <v>654</v>
      </c>
      <c r="I299" s="3" t="s">
        <v>16</v>
      </c>
      <c r="J299" s="3" t="s">
        <v>21</v>
      </c>
    </row>
    <row r="300" ht="15.75" customHeight="1">
      <c r="A300" s="3" t="s">
        <v>768</v>
      </c>
      <c r="B300" s="3" t="s">
        <v>566</v>
      </c>
      <c r="C300" s="3" t="s">
        <v>651</v>
      </c>
      <c r="D300" s="3" t="s">
        <v>139</v>
      </c>
      <c r="E300" s="3" t="s">
        <v>45</v>
      </c>
      <c r="F300" s="3" t="s">
        <v>45</v>
      </c>
      <c r="G300" s="3"/>
      <c r="H300" s="3" t="s">
        <v>654</v>
      </c>
      <c r="I300" s="3" t="s">
        <v>16</v>
      </c>
      <c r="J300" s="3" t="s">
        <v>21</v>
      </c>
    </row>
    <row r="301" ht="15.75" customHeight="1">
      <c r="A301" s="3" t="s">
        <v>769</v>
      </c>
      <c r="B301" s="3" t="s">
        <v>566</v>
      </c>
      <c r="C301" s="3" t="s">
        <v>651</v>
      </c>
      <c r="D301" s="3" t="s">
        <v>139</v>
      </c>
      <c r="E301" s="3" t="s">
        <v>45</v>
      </c>
      <c r="F301" s="3" t="s">
        <v>45</v>
      </c>
      <c r="G301" s="3"/>
      <c r="H301" s="3" t="s">
        <v>654</v>
      </c>
      <c r="I301" s="3" t="s">
        <v>16</v>
      </c>
      <c r="J301" s="3" t="s">
        <v>21</v>
      </c>
    </row>
    <row r="302" ht="15.75" customHeight="1">
      <c r="A302" s="3" t="s">
        <v>770</v>
      </c>
      <c r="B302" s="3" t="s">
        <v>566</v>
      </c>
      <c r="C302" s="3" t="s">
        <v>651</v>
      </c>
      <c r="D302" s="3" t="s">
        <v>139</v>
      </c>
      <c r="E302" s="3" t="s">
        <v>45</v>
      </c>
      <c r="F302" s="3" t="s">
        <v>45</v>
      </c>
      <c r="G302" s="3"/>
      <c r="H302" s="3" t="s">
        <v>654</v>
      </c>
      <c r="I302" s="3" t="s">
        <v>16</v>
      </c>
      <c r="J302" s="3" t="s">
        <v>21</v>
      </c>
    </row>
    <row r="303" ht="15.75" customHeight="1">
      <c r="A303" s="3" t="s">
        <v>771</v>
      </c>
      <c r="B303" s="3" t="s">
        <v>566</v>
      </c>
      <c r="C303" s="3" t="s">
        <v>651</v>
      </c>
      <c r="D303" s="3" t="s">
        <v>139</v>
      </c>
      <c r="E303" s="3" t="s">
        <v>45</v>
      </c>
      <c r="F303" s="3" t="s">
        <v>45</v>
      </c>
      <c r="G303" s="3"/>
      <c r="H303" s="3" t="s">
        <v>654</v>
      </c>
      <c r="I303" s="3" t="s">
        <v>16</v>
      </c>
      <c r="J303" s="3" t="s">
        <v>21</v>
      </c>
    </row>
    <row r="304" ht="15.75" customHeight="1">
      <c r="A304" s="3" t="s">
        <v>772</v>
      </c>
      <c r="B304" s="3" t="s">
        <v>566</v>
      </c>
      <c r="C304" s="3" t="s">
        <v>651</v>
      </c>
      <c r="D304" s="3" t="s">
        <v>139</v>
      </c>
      <c r="E304" s="3" t="s">
        <v>45</v>
      </c>
      <c r="F304" s="3" t="s">
        <v>45</v>
      </c>
      <c r="G304" s="3"/>
      <c r="H304" s="3" t="s">
        <v>654</v>
      </c>
      <c r="I304" s="3" t="s">
        <v>16</v>
      </c>
      <c r="J304" s="3" t="s">
        <v>21</v>
      </c>
    </row>
    <row r="305" ht="15.75" customHeight="1">
      <c r="A305" s="3" t="s">
        <v>773</v>
      </c>
      <c r="B305" s="3" t="s">
        <v>566</v>
      </c>
      <c r="C305" s="3" t="s">
        <v>651</v>
      </c>
      <c r="D305" s="3" t="s">
        <v>139</v>
      </c>
      <c r="E305" s="3" t="s">
        <v>45</v>
      </c>
      <c r="F305" s="3" t="s">
        <v>45</v>
      </c>
      <c r="G305" s="3"/>
      <c r="H305" s="3" t="s">
        <v>654</v>
      </c>
      <c r="I305" s="3" t="s">
        <v>16</v>
      </c>
      <c r="J305" s="3" t="s">
        <v>21</v>
      </c>
    </row>
    <row r="306" ht="15.75" customHeight="1">
      <c r="A306" s="3" t="s">
        <v>774</v>
      </c>
      <c r="B306" s="3" t="s">
        <v>566</v>
      </c>
      <c r="C306" s="3" t="s">
        <v>651</v>
      </c>
      <c r="D306" s="3" t="s">
        <v>139</v>
      </c>
      <c r="E306" s="3" t="s">
        <v>45</v>
      </c>
      <c r="F306" s="3" t="s">
        <v>45</v>
      </c>
      <c r="G306" s="3"/>
      <c r="H306" s="3" t="s">
        <v>654</v>
      </c>
      <c r="I306" s="3" t="s">
        <v>16</v>
      </c>
      <c r="J306" s="3" t="s">
        <v>21</v>
      </c>
    </row>
    <row r="307" ht="15.75" customHeight="1">
      <c r="A307" s="3" t="s">
        <v>775</v>
      </c>
      <c r="B307" s="3" t="s">
        <v>566</v>
      </c>
      <c r="C307" s="3" t="s">
        <v>651</v>
      </c>
      <c r="D307" s="3" t="s">
        <v>139</v>
      </c>
      <c r="E307" s="3" t="s">
        <v>45</v>
      </c>
      <c r="F307" s="3" t="s">
        <v>45</v>
      </c>
      <c r="G307" s="3"/>
      <c r="H307" s="3" t="s">
        <v>654</v>
      </c>
      <c r="I307" s="3" t="s">
        <v>16</v>
      </c>
      <c r="J307" s="3" t="s">
        <v>21</v>
      </c>
    </row>
    <row r="308" ht="15.75" customHeight="1">
      <c r="A308" s="3" t="s">
        <v>776</v>
      </c>
      <c r="B308" s="3" t="s">
        <v>566</v>
      </c>
      <c r="C308" s="3" t="s">
        <v>651</v>
      </c>
      <c r="D308" s="3" t="s">
        <v>139</v>
      </c>
      <c r="E308" s="3" t="s">
        <v>45</v>
      </c>
      <c r="F308" s="3" t="s">
        <v>45</v>
      </c>
      <c r="G308" s="3"/>
      <c r="H308" s="3" t="s">
        <v>654</v>
      </c>
      <c r="I308" s="3" t="s">
        <v>16</v>
      </c>
      <c r="J308" s="3" t="s">
        <v>21</v>
      </c>
    </row>
    <row r="309" ht="15.75" customHeight="1">
      <c r="A309" s="3" t="s">
        <v>777</v>
      </c>
      <c r="B309" s="3" t="s">
        <v>566</v>
      </c>
      <c r="C309" s="3" t="s">
        <v>651</v>
      </c>
      <c r="D309" s="3" t="s">
        <v>139</v>
      </c>
      <c r="E309" s="3" t="s">
        <v>45</v>
      </c>
      <c r="F309" s="3" t="s">
        <v>45</v>
      </c>
      <c r="G309" s="3"/>
      <c r="H309" s="3" t="s">
        <v>654</v>
      </c>
      <c r="I309" s="3" t="s">
        <v>16</v>
      </c>
      <c r="J309" s="3" t="s">
        <v>21</v>
      </c>
    </row>
    <row r="310" ht="15.75" customHeight="1">
      <c r="A310" s="3" t="s">
        <v>778</v>
      </c>
      <c r="B310" s="3" t="s">
        <v>566</v>
      </c>
      <c r="C310" s="3" t="s">
        <v>651</v>
      </c>
      <c r="D310" s="3" t="s">
        <v>139</v>
      </c>
      <c r="E310" s="3" t="s">
        <v>45</v>
      </c>
      <c r="F310" s="3" t="s">
        <v>45</v>
      </c>
      <c r="G310" s="3"/>
      <c r="H310" s="3" t="s">
        <v>654</v>
      </c>
      <c r="I310" s="3" t="s">
        <v>16</v>
      </c>
      <c r="J310" s="3" t="s">
        <v>21</v>
      </c>
    </row>
    <row r="311" ht="15.75" customHeight="1">
      <c r="A311" s="3" t="s">
        <v>779</v>
      </c>
      <c r="B311" s="3" t="s">
        <v>566</v>
      </c>
      <c r="C311" s="3" t="s">
        <v>651</v>
      </c>
      <c r="D311" s="3" t="s">
        <v>139</v>
      </c>
      <c r="E311" s="3" t="s">
        <v>45</v>
      </c>
      <c r="F311" s="3" t="s">
        <v>45</v>
      </c>
      <c r="G311" s="3"/>
      <c r="H311" s="3" t="s">
        <v>654</v>
      </c>
      <c r="I311" s="3" t="s">
        <v>16</v>
      </c>
      <c r="J311" s="3" t="s">
        <v>21</v>
      </c>
    </row>
    <row r="312" ht="15.75" customHeight="1">
      <c r="A312" s="3" t="s">
        <v>342</v>
      </c>
      <c r="B312" s="3" t="s">
        <v>566</v>
      </c>
      <c r="C312" s="3" t="s">
        <v>681</v>
      </c>
      <c r="D312" s="3" t="s">
        <v>139</v>
      </c>
      <c r="E312" s="3" t="s">
        <v>45</v>
      </c>
      <c r="F312" s="3" t="s">
        <v>45</v>
      </c>
      <c r="G312" s="3" t="s">
        <v>202</v>
      </c>
      <c r="H312" s="3" t="s">
        <v>682</v>
      </c>
      <c r="I312" s="3" t="s">
        <v>16</v>
      </c>
      <c r="J312" s="3" t="s">
        <v>21</v>
      </c>
    </row>
    <row r="313" ht="15.75" customHeight="1">
      <c r="A313" s="3" t="s">
        <v>344</v>
      </c>
      <c r="B313" s="3" t="s">
        <v>566</v>
      </c>
      <c r="C313" s="3" t="s">
        <v>688</v>
      </c>
      <c r="D313" s="3" t="s">
        <v>139</v>
      </c>
      <c r="E313" s="3" t="s">
        <v>45</v>
      </c>
      <c r="F313" s="3" t="s">
        <v>45</v>
      </c>
      <c r="G313" s="3" t="s">
        <v>206</v>
      </c>
      <c r="H313" s="3" t="s">
        <v>689</v>
      </c>
      <c r="I313" s="3" t="s">
        <v>16</v>
      </c>
      <c r="J313" s="3" t="s">
        <v>21</v>
      </c>
    </row>
    <row r="314" ht="15.75" customHeight="1">
      <c r="A314" s="3" t="s">
        <v>780</v>
      </c>
      <c r="B314" s="3" t="s">
        <v>566</v>
      </c>
      <c r="C314" s="3" t="s">
        <v>651</v>
      </c>
      <c r="D314" s="3" t="s">
        <v>139</v>
      </c>
      <c r="E314" s="3" t="s">
        <v>45</v>
      </c>
      <c r="F314" s="3" t="s">
        <v>45</v>
      </c>
      <c r="G314" s="3"/>
      <c r="H314" s="3" t="s">
        <v>654</v>
      </c>
      <c r="I314" s="3" t="s">
        <v>16</v>
      </c>
      <c r="J314" s="3" t="s">
        <v>21</v>
      </c>
    </row>
    <row r="315" ht="15.75" customHeight="1">
      <c r="A315" s="3" t="s">
        <v>781</v>
      </c>
      <c r="B315" s="3" t="s">
        <v>566</v>
      </c>
      <c r="C315" s="3" t="s">
        <v>651</v>
      </c>
      <c r="D315" s="3" t="s">
        <v>139</v>
      </c>
      <c r="E315" s="3" t="s">
        <v>45</v>
      </c>
      <c r="F315" s="3" t="s">
        <v>45</v>
      </c>
      <c r="G315" s="3"/>
      <c r="H315" s="3" t="s">
        <v>654</v>
      </c>
      <c r="I315" s="3" t="s">
        <v>16</v>
      </c>
      <c r="J315" s="3" t="s">
        <v>21</v>
      </c>
    </row>
    <row r="316" ht="15.75" customHeight="1">
      <c r="A316" s="3" t="s">
        <v>782</v>
      </c>
      <c r="B316" s="3" t="s">
        <v>566</v>
      </c>
      <c r="C316" s="3" t="s">
        <v>651</v>
      </c>
      <c r="D316" s="3" t="s">
        <v>139</v>
      </c>
      <c r="E316" s="3" t="s">
        <v>45</v>
      </c>
      <c r="F316" s="3" t="s">
        <v>45</v>
      </c>
      <c r="G316" s="3"/>
      <c r="H316" s="3" t="s">
        <v>654</v>
      </c>
      <c r="I316" s="3" t="s">
        <v>16</v>
      </c>
      <c r="J316" s="3" t="s">
        <v>21</v>
      </c>
    </row>
    <row r="317" ht="15.75" customHeight="1">
      <c r="A317" s="3" t="s">
        <v>349</v>
      </c>
      <c r="B317" s="3" t="s">
        <v>566</v>
      </c>
      <c r="C317" s="3" t="s">
        <v>681</v>
      </c>
      <c r="D317" s="3" t="s">
        <v>139</v>
      </c>
      <c r="E317" s="3" t="s">
        <v>45</v>
      </c>
      <c r="F317" s="3" t="s">
        <v>45</v>
      </c>
      <c r="G317" s="3" t="s">
        <v>202</v>
      </c>
      <c r="H317" s="3" t="s">
        <v>682</v>
      </c>
      <c r="I317" s="3" t="s">
        <v>16</v>
      </c>
      <c r="J317" s="3" t="s">
        <v>21</v>
      </c>
    </row>
    <row r="318" ht="15.75" customHeight="1">
      <c r="A318" s="3" t="s">
        <v>235</v>
      </c>
      <c r="B318" s="3" t="s">
        <v>566</v>
      </c>
      <c r="C318" s="3" t="s">
        <v>651</v>
      </c>
      <c r="D318" s="3" t="s">
        <v>139</v>
      </c>
      <c r="E318" s="3" t="s">
        <v>45</v>
      </c>
      <c r="F318" s="3" t="s">
        <v>45</v>
      </c>
      <c r="G318" s="3"/>
      <c r="H318" s="3" t="s">
        <v>654</v>
      </c>
      <c r="I318" s="3" t="s">
        <v>16</v>
      </c>
      <c r="J318" s="3" t="s">
        <v>21</v>
      </c>
    </row>
    <row r="319" ht="15.75" customHeight="1">
      <c r="A319" s="3" t="s">
        <v>783</v>
      </c>
      <c r="B319" s="3" t="s">
        <v>566</v>
      </c>
      <c r="C319" s="3" t="s">
        <v>651</v>
      </c>
      <c r="D319" s="3" t="s">
        <v>139</v>
      </c>
      <c r="E319" s="3" t="s">
        <v>45</v>
      </c>
      <c r="F319" s="3" t="s">
        <v>45</v>
      </c>
      <c r="G319" s="3"/>
      <c r="H319" s="3" t="s">
        <v>654</v>
      </c>
      <c r="I319" s="3" t="s">
        <v>16</v>
      </c>
      <c r="J319" s="3" t="s">
        <v>21</v>
      </c>
    </row>
    <row r="320" ht="15.75" customHeight="1">
      <c r="A320" s="3" t="s">
        <v>784</v>
      </c>
      <c r="B320" s="3" t="s">
        <v>566</v>
      </c>
      <c r="C320" s="3" t="s">
        <v>651</v>
      </c>
      <c r="D320" s="3" t="s">
        <v>139</v>
      </c>
      <c r="E320" s="3" t="s">
        <v>45</v>
      </c>
      <c r="F320" s="3" t="s">
        <v>45</v>
      </c>
      <c r="G320" s="3"/>
      <c r="H320" s="3" t="s">
        <v>654</v>
      </c>
      <c r="I320" s="3" t="s">
        <v>16</v>
      </c>
      <c r="J320" s="3" t="s">
        <v>21</v>
      </c>
    </row>
    <row r="321" ht="15.75" customHeight="1">
      <c r="A321" s="3" t="s">
        <v>785</v>
      </c>
      <c r="B321" s="3" t="s">
        <v>566</v>
      </c>
      <c r="C321" s="3" t="s">
        <v>651</v>
      </c>
      <c r="D321" s="3" t="s">
        <v>139</v>
      </c>
      <c r="E321" s="3" t="s">
        <v>45</v>
      </c>
      <c r="F321" s="3" t="s">
        <v>45</v>
      </c>
      <c r="G321" s="3"/>
      <c r="H321" s="3" t="s">
        <v>654</v>
      </c>
      <c r="I321" s="3" t="s">
        <v>16</v>
      </c>
      <c r="J321" s="3" t="s">
        <v>21</v>
      </c>
    </row>
    <row r="322" ht="15.75" customHeight="1">
      <c r="A322" s="3" t="s">
        <v>786</v>
      </c>
      <c r="B322" s="3" t="s">
        <v>566</v>
      </c>
      <c r="C322" s="3" t="s">
        <v>651</v>
      </c>
      <c r="D322" s="3" t="s">
        <v>139</v>
      </c>
      <c r="E322" s="3" t="s">
        <v>45</v>
      </c>
      <c r="F322" s="3" t="s">
        <v>45</v>
      </c>
      <c r="G322" s="3"/>
      <c r="H322" s="3" t="s">
        <v>654</v>
      </c>
      <c r="I322" s="3" t="s">
        <v>16</v>
      </c>
      <c r="J322" s="3" t="s">
        <v>21</v>
      </c>
    </row>
    <row r="323" ht="15.75" customHeight="1">
      <c r="A323" s="3" t="s">
        <v>350</v>
      </c>
      <c r="B323" s="3" t="s">
        <v>566</v>
      </c>
      <c r="C323" s="3" t="s">
        <v>681</v>
      </c>
      <c r="D323" s="3" t="s">
        <v>139</v>
      </c>
      <c r="E323" s="3" t="s">
        <v>45</v>
      </c>
      <c r="F323" s="3" t="s">
        <v>45</v>
      </c>
      <c r="G323" s="3" t="s">
        <v>202</v>
      </c>
      <c r="H323" s="3" t="s">
        <v>682</v>
      </c>
      <c r="I323" s="3" t="s">
        <v>16</v>
      </c>
      <c r="J323" s="3" t="s">
        <v>21</v>
      </c>
    </row>
    <row r="324" ht="15.75" customHeight="1">
      <c r="A324" s="3" t="s">
        <v>787</v>
      </c>
      <c r="B324" s="3" t="s">
        <v>566</v>
      </c>
      <c r="C324" s="3" t="s">
        <v>651</v>
      </c>
      <c r="D324" s="3" t="s">
        <v>139</v>
      </c>
      <c r="E324" s="3" t="s">
        <v>45</v>
      </c>
      <c r="F324" s="3" t="s">
        <v>45</v>
      </c>
      <c r="G324" s="3"/>
      <c r="H324" s="3" t="s">
        <v>654</v>
      </c>
      <c r="I324" s="3" t="s">
        <v>16</v>
      </c>
      <c r="J324" s="3" t="s">
        <v>21</v>
      </c>
    </row>
    <row r="325" ht="15.75" customHeight="1">
      <c r="A325" s="3" t="s">
        <v>788</v>
      </c>
      <c r="B325" s="3" t="s">
        <v>566</v>
      </c>
      <c r="C325" s="3" t="s">
        <v>651</v>
      </c>
      <c r="D325" s="3" t="s">
        <v>139</v>
      </c>
      <c r="E325" s="3" t="s">
        <v>45</v>
      </c>
      <c r="F325" s="3" t="s">
        <v>45</v>
      </c>
      <c r="G325" s="3"/>
      <c r="H325" s="3" t="s">
        <v>654</v>
      </c>
      <c r="I325" s="3" t="s">
        <v>16</v>
      </c>
      <c r="J325" s="3" t="s">
        <v>21</v>
      </c>
    </row>
    <row r="326" ht="15.75" customHeight="1">
      <c r="A326" s="3" t="s">
        <v>789</v>
      </c>
      <c r="B326" s="3" t="s">
        <v>566</v>
      </c>
      <c r="C326" s="3" t="s">
        <v>651</v>
      </c>
      <c r="D326" s="3" t="s">
        <v>139</v>
      </c>
      <c r="E326" s="3" t="s">
        <v>45</v>
      </c>
      <c r="F326" s="3" t="s">
        <v>45</v>
      </c>
      <c r="G326" s="3"/>
      <c r="H326" s="3" t="s">
        <v>654</v>
      </c>
      <c r="I326" s="3" t="s">
        <v>16</v>
      </c>
      <c r="J326" s="3" t="s">
        <v>21</v>
      </c>
    </row>
    <row r="327" ht="15.75" customHeight="1">
      <c r="A327" s="3" t="s">
        <v>355</v>
      </c>
      <c r="B327" s="3" t="s">
        <v>566</v>
      </c>
      <c r="C327" s="3" t="s">
        <v>688</v>
      </c>
      <c r="D327" s="3" t="s">
        <v>139</v>
      </c>
      <c r="E327" s="3" t="s">
        <v>45</v>
      </c>
      <c r="F327" s="3" t="s">
        <v>45</v>
      </c>
      <c r="G327" s="3" t="s">
        <v>206</v>
      </c>
      <c r="H327" s="3" t="s">
        <v>689</v>
      </c>
      <c r="I327" s="3" t="s">
        <v>16</v>
      </c>
      <c r="J327" s="3" t="s">
        <v>21</v>
      </c>
    </row>
    <row r="328" ht="15.75" customHeight="1">
      <c r="A328" s="3" t="s">
        <v>790</v>
      </c>
      <c r="B328" s="3" t="s">
        <v>566</v>
      </c>
      <c r="C328" s="3" t="s">
        <v>651</v>
      </c>
      <c r="D328" s="3" t="s">
        <v>139</v>
      </c>
      <c r="E328" s="3" t="s">
        <v>45</v>
      </c>
      <c r="F328" s="3" t="s">
        <v>45</v>
      </c>
      <c r="G328" s="3"/>
      <c r="H328" s="3" t="s">
        <v>654</v>
      </c>
      <c r="I328" s="3" t="s">
        <v>16</v>
      </c>
      <c r="J328" s="3" t="s">
        <v>21</v>
      </c>
    </row>
    <row r="329" ht="15.75" customHeight="1">
      <c r="A329" s="3" t="s">
        <v>791</v>
      </c>
      <c r="B329" s="3" t="s">
        <v>566</v>
      </c>
      <c r="C329" s="3" t="s">
        <v>651</v>
      </c>
      <c r="D329" s="3" t="s">
        <v>139</v>
      </c>
      <c r="E329" s="3" t="s">
        <v>45</v>
      </c>
      <c r="F329" s="3" t="s">
        <v>45</v>
      </c>
      <c r="G329" s="3"/>
      <c r="H329" s="3" t="s">
        <v>654</v>
      </c>
      <c r="I329" s="3" t="s">
        <v>16</v>
      </c>
      <c r="J329" s="3" t="s">
        <v>21</v>
      </c>
    </row>
    <row r="330" ht="15.75" customHeight="1">
      <c r="A330" s="3" t="s">
        <v>792</v>
      </c>
      <c r="B330" s="3" t="s">
        <v>566</v>
      </c>
      <c r="C330" s="3" t="s">
        <v>651</v>
      </c>
      <c r="D330" s="3" t="s">
        <v>139</v>
      </c>
      <c r="E330" s="3" t="s">
        <v>45</v>
      </c>
      <c r="F330" s="3" t="s">
        <v>45</v>
      </c>
      <c r="G330" s="3"/>
      <c r="H330" s="3" t="s">
        <v>654</v>
      </c>
      <c r="I330" s="3" t="s">
        <v>16</v>
      </c>
      <c r="J330" s="3" t="s">
        <v>21</v>
      </c>
    </row>
    <row r="331" ht="15.75" customHeight="1">
      <c r="A331" s="3" t="s">
        <v>793</v>
      </c>
      <c r="B331" s="3" t="s">
        <v>566</v>
      </c>
      <c r="C331" s="3" t="s">
        <v>651</v>
      </c>
      <c r="D331" s="3" t="s">
        <v>139</v>
      </c>
      <c r="E331" s="3" t="s">
        <v>45</v>
      </c>
      <c r="F331" s="3" t="s">
        <v>45</v>
      </c>
      <c r="G331" s="3"/>
      <c r="H331" s="3" t="s">
        <v>654</v>
      </c>
      <c r="I331" s="3" t="s">
        <v>16</v>
      </c>
      <c r="J331" s="3" t="s">
        <v>21</v>
      </c>
    </row>
    <row r="332" ht="15.75" customHeight="1">
      <c r="A332" s="3" t="s">
        <v>794</v>
      </c>
      <c r="B332" s="3" t="s">
        <v>566</v>
      </c>
      <c r="C332" s="3" t="s">
        <v>651</v>
      </c>
      <c r="D332" s="3" t="s">
        <v>139</v>
      </c>
      <c r="E332" s="3" t="s">
        <v>45</v>
      </c>
      <c r="F332" s="3" t="s">
        <v>45</v>
      </c>
      <c r="G332" s="3"/>
      <c r="H332" s="3" t="s">
        <v>654</v>
      </c>
      <c r="I332" s="3" t="s">
        <v>16</v>
      </c>
      <c r="J332" s="3" t="s">
        <v>21</v>
      </c>
    </row>
    <row r="333" ht="15.75" customHeight="1">
      <c r="A333" s="3" t="s">
        <v>795</v>
      </c>
      <c r="B333" s="3" t="s">
        <v>566</v>
      </c>
      <c r="C333" s="3" t="s">
        <v>651</v>
      </c>
      <c r="D333" s="3" t="s">
        <v>139</v>
      </c>
      <c r="E333" s="3" t="s">
        <v>45</v>
      </c>
      <c r="F333" s="3" t="s">
        <v>45</v>
      </c>
      <c r="G333" s="3"/>
      <c r="H333" s="3" t="s">
        <v>654</v>
      </c>
      <c r="I333" s="3" t="s">
        <v>16</v>
      </c>
      <c r="J333" s="3" t="s">
        <v>21</v>
      </c>
    </row>
    <row r="334" ht="15.75" customHeight="1">
      <c r="A334" s="3" t="s">
        <v>796</v>
      </c>
      <c r="B334" s="3" t="s">
        <v>566</v>
      </c>
      <c r="C334" s="3" t="s">
        <v>651</v>
      </c>
      <c r="D334" s="3" t="s">
        <v>139</v>
      </c>
      <c r="E334" s="3" t="s">
        <v>45</v>
      </c>
      <c r="F334" s="3" t="s">
        <v>45</v>
      </c>
      <c r="G334" s="3"/>
      <c r="H334" s="3" t="s">
        <v>654</v>
      </c>
      <c r="I334" s="3" t="s">
        <v>16</v>
      </c>
      <c r="J334" s="3" t="s">
        <v>21</v>
      </c>
    </row>
    <row r="335" ht="15.75" customHeight="1">
      <c r="A335" s="3" t="s">
        <v>797</v>
      </c>
      <c r="B335" s="3" t="s">
        <v>566</v>
      </c>
      <c r="C335" s="3" t="s">
        <v>651</v>
      </c>
      <c r="D335" s="3" t="s">
        <v>139</v>
      </c>
      <c r="E335" s="3" t="s">
        <v>45</v>
      </c>
      <c r="F335" s="3" t="s">
        <v>45</v>
      </c>
      <c r="G335" s="3"/>
      <c r="H335" s="3" t="s">
        <v>654</v>
      </c>
      <c r="I335" s="3" t="s">
        <v>16</v>
      </c>
      <c r="J335" s="3" t="s">
        <v>21</v>
      </c>
    </row>
    <row r="336" ht="15.75" customHeight="1">
      <c r="A336" s="3" t="s">
        <v>798</v>
      </c>
      <c r="B336" s="3" t="s">
        <v>566</v>
      </c>
      <c r="C336" s="3" t="s">
        <v>651</v>
      </c>
      <c r="D336" s="3" t="s">
        <v>139</v>
      </c>
      <c r="E336" s="3" t="s">
        <v>45</v>
      </c>
      <c r="F336" s="3" t="s">
        <v>45</v>
      </c>
      <c r="G336" s="3"/>
      <c r="H336" s="3" t="s">
        <v>654</v>
      </c>
      <c r="I336" s="3" t="s">
        <v>16</v>
      </c>
      <c r="J336" s="3" t="s">
        <v>21</v>
      </c>
    </row>
    <row r="337" ht="15.75" customHeight="1">
      <c r="A337" s="3" t="s">
        <v>359</v>
      </c>
      <c r="B337" s="3" t="s">
        <v>566</v>
      </c>
      <c r="C337" s="3" t="s">
        <v>688</v>
      </c>
      <c r="D337" s="3" t="s">
        <v>139</v>
      </c>
      <c r="E337" s="3" t="s">
        <v>45</v>
      </c>
      <c r="F337" s="3" t="s">
        <v>45</v>
      </c>
      <c r="G337" s="3" t="s">
        <v>206</v>
      </c>
      <c r="H337" s="3" t="s">
        <v>689</v>
      </c>
      <c r="I337" s="3" t="s">
        <v>16</v>
      </c>
      <c r="J337" s="3" t="s">
        <v>21</v>
      </c>
    </row>
    <row r="338" ht="15.75" customHeight="1">
      <c r="A338" s="3" t="s">
        <v>799</v>
      </c>
      <c r="B338" s="3" t="s">
        <v>566</v>
      </c>
      <c r="C338" s="3" t="s">
        <v>651</v>
      </c>
      <c r="D338" s="3" t="s">
        <v>139</v>
      </c>
      <c r="E338" s="3" t="s">
        <v>45</v>
      </c>
      <c r="F338" s="3" t="s">
        <v>45</v>
      </c>
      <c r="G338" s="3"/>
      <c r="H338" s="3" t="s">
        <v>654</v>
      </c>
      <c r="I338" s="3" t="s">
        <v>16</v>
      </c>
      <c r="J338" s="3" t="s">
        <v>21</v>
      </c>
    </row>
    <row r="339" ht="15.75" customHeight="1">
      <c r="A339" s="3" t="s">
        <v>800</v>
      </c>
      <c r="B339" s="3" t="s">
        <v>566</v>
      </c>
      <c r="C339" s="3" t="s">
        <v>651</v>
      </c>
      <c r="D339" s="3" t="s">
        <v>139</v>
      </c>
      <c r="E339" s="3" t="s">
        <v>45</v>
      </c>
      <c r="F339" s="3" t="s">
        <v>45</v>
      </c>
      <c r="G339" s="3"/>
      <c r="H339" s="3" t="s">
        <v>654</v>
      </c>
      <c r="I339" s="3" t="s">
        <v>16</v>
      </c>
      <c r="J339" s="3" t="s">
        <v>21</v>
      </c>
    </row>
    <row r="340" ht="15.75" customHeight="1">
      <c r="A340" s="3" t="s">
        <v>269</v>
      </c>
      <c r="B340" s="3" t="s">
        <v>566</v>
      </c>
      <c r="C340" s="3" t="s">
        <v>651</v>
      </c>
      <c r="D340" s="3" t="s">
        <v>139</v>
      </c>
      <c r="E340" s="3" t="s">
        <v>45</v>
      </c>
      <c r="F340" s="3" t="s">
        <v>45</v>
      </c>
      <c r="G340" s="3"/>
      <c r="H340" s="3" t="s">
        <v>654</v>
      </c>
      <c r="I340" s="3" t="s">
        <v>16</v>
      </c>
      <c r="J340" s="3" t="s">
        <v>21</v>
      </c>
    </row>
    <row r="341" ht="15.75" customHeight="1">
      <c r="A341" s="3" t="s">
        <v>801</v>
      </c>
      <c r="B341" s="3" t="s">
        <v>566</v>
      </c>
      <c r="C341" s="3" t="s">
        <v>651</v>
      </c>
      <c r="D341" s="3" t="s">
        <v>139</v>
      </c>
      <c r="E341" s="3" t="s">
        <v>45</v>
      </c>
      <c r="F341" s="3" t="s">
        <v>45</v>
      </c>
      <c r="G341" s="3"/>
      <c r="H341" s="3" t="s">
        <v>654</v>
      </c>
      <c r="I341" s="3" t="s">
        <v>16</v>
      </c>
      <c r="J341" s="3" t="s">
        <v>21</v>
      </c>
    </row>
    <row r="342" ht="15.75" customHeight="1">
      <c r="A342" s="3" t="s">
        <v>802</v>
      </c>
      <c r="B342" s="3" t="s">
        <v>566</v>
      </c>
      <c r="C342" s="3" t="s">
        <v>651</v>
      </c>
      <c r="D342" s="3" t="s">
        <v>139</v>
      </c>
      <c r="E342" s="3" t="s">
        <v>45</v>
      </c>
      <c r="F342" s="3" t="s">
        <v>45</v>
      </c>
      <c r="G342" s="3"/>
      <c r="H342" s="3" t="s">
        <v>654</v>
      </c>
      <c r="I342" s="3" t="s">
        <v>16</v>
      </c>
      <c r="J342" s="3" t="s">
        <v>21</v>
      </c>
    </row>
    <row r="343" ht="15.75" customHeight="1">
      <c r="A343" s="3" t="s">
        <v>803</v>
      </c>
      <c r="B343" s="3" t="s">
        <v>566</v>
      </c>
      <c r="C343" s="3" t="s">
        <v>651</v>
      </c>
      <c r="D343" s="3" t="s">
        <v>139</v>
      </c>
      <c r="E343" s="3" t="s">
        <v>45</v>
      </c>
      <c r="F343" s="3" t="s">
        <v>45</v>
      </c>
      <c r="G343" s="3"/>
      <c r="H343" s="3" t="s">
        <v>654</v>
      </c>
      <c r="I343" s="3" t="s">
        <v>16</v>
      </c>
      <c r="J343" s="3" t="s">
        <v>21</v>
      </c>
    </row>
    <row r="344" ht="15.75" customHeight="1">
      <c r="A344" s="3" t="s">
        <v>804</v>
      </c>
      <c r="B344" s="3" t="s">
        <v>566</v>
      </c>
      <c r="C344" s="3" t="s">
        <v>651</v>
      </c>
      <c r="D344" s="3" t="s">
        <v>139</v>
      </c>
      <c r="E344" s="3" t="s">
        <v>45</v>
      </c>
      <c r="F344" s="3" t="s">
        <v>45</v>
      </c>
      <c r="G344" s="3"/>
      <c r="H344" s="3" t="s">
        <v>654</v>
      </c>
      <c r="I344" s="3" t="s">
        <v>16</v>
      </c>
      <c r="J344" s="3" t="s">
        <v>21</v>
      </c>
    </row>
    <row r="345" ht="15.75" customHeight="1">
      <c r="A345" s="3" t="s">
        <v>805</v>
      </c>
      <c r="B345" s="3" t="s">
        <v>566</v>
      </c>
      <c r="C345" s="3" t="s">
        <v>651</v>
      </c>
      <c r="D345" s="3" t="s">
        <v>139</v>
      </c>
      <c r="E345" s="3" t="s">
        <v>45</v>
      </c>
      <c r="F345" s="3" t="s">
        <v>45</v>
      </c>
      <c r="G345" s="3"/>
      <c r="H345" s="3" t="s">
        <v>654</v>
      </c>
      <c r="I345" s="3" t="s">
        <v>16</v>
      </c>
      <c r="J345" s="3" t="s">
        <v>21</v>
      </c>
    </row>
    <row r="346" ht="15.75" customHeight="1">
      <c r="A346" s="3" t="s">
        <v>806</v>
      </c>
      <c r="B346" s="3" t="s">
        <v>566</v>
      </c>
      <c r="C346" s="3" t="s">
        <v>651</v>
      </c>
      <c r="D346" s="3" t="s">
        <v>139</v>
      </c>
      <c r="E346" s="3" t="s">
        <v>45</v>
      </c>
      <c r="F346" s="3" t="s">
        <v>45</v>
      </c>
      <c r="G346" s="3"/>
      <c r="H346" s="3" t="s">
        <v>654</v>
      </c>
      <c r="I346" s="3" t="s">
        <v>16</v>
      </c>
      <c r="J346" s="3" t="s">
        <v>21</v>
      </c>
    </row>
    <row r="347" ht="15.75" customHeight="1">
      <c r="A347" s="3" t="s">
        <v>807</v>
      </c>
      <c r="B347" s="3" t="s">
        <v>566</v>
      </c>
      <c r="C347" s="3" t="s">
        <v>651</v>
      </c>
      <c r="D347" s="3" t="s">
        <v>139</v>
      </c>
      <c r="E347" s="3" t="s">
        <v>45</v>
      </c>
      <c r="F347" s="3" t="s">
        <v>45</v>
      </c>
      <c r="G347" s="3"/>
      <c r="H347" s="3" t="s">
        <v>654</v>
      </c>
      <c r="I347" s="3" t="s">
        <v>16</v>
      </c>
      <c r="J347" s="3" t="s">
        <v>21</v>
      </c>
    </row>
    <row r="348" ht="15.75" customHeight="1">
      <c r="A348" s="3" t="s">
        <v>808</v>
      </c>
      <c r="B348" s="3" t="s">
        <v>566</v>
      </c>
      <c r="C348" s="3" t="s">
        <v>651</v>
      </c>
      <c r="D348" s="3" t="s">
        <v>139</v>
      </c>
      <c r="E348" s="3" t="s">
        <v>45</v>
      </c>
      <c r="F348" s="3" t="s">
        <v>45</v>
      </c>
      <c r="G348" s="3"/>
      <c r="H348" s="3" t="s">
        <v>654</v>
      </c>
      <c r="I348" s="3" t="s">
        <v>16</v>
      </c>
      <c r="J348" s="3" t="s">
        <v>21</v>
      </c>
    </row>
    <row r="349" ht="15.75" customHeight="1">
      <c r="A349" s="3" t="s">
        <v>809</v>
      </c>
      <c r="B349" s="3" t="s">
        <v>566</v>
      </c>
      <c r="C349" s="3" t="s">
        <v>651</v>
      </c>
      <c r="D349" s="3" t="s">
        <v>139</v>
      </c>
      <c r="E349" s="3" t="s">
        <v>45</v>
      </c>
      <c r="F349" s="3" t="s">
        <v>45</v>
      </c>
      <c r="G349" s="3"/>
      <c r="H349" s="3" t="s">
        <v>654</v>
      </c>
      <c r="I349" s="3" t="s">
        <v>16</v>
      </c>
      <c r="J349" s="3" t="s">
        <v>21</v>
      </c>
    </row>
    <row r="350" ht="15.75" customHeight="1">
      <c r="A350" s="3" t="s">
        <v>810</v>
      </c>
      <c r="B350" s="3" t="s">
        <v>566</v>
      </c>
      <c r="C350" s="3" t="s">
        <v>651</v>
      </c>
      <c r="D350" s="3" t="s">
        <v>139</v>
      </c>
      <c r="E350" s="3" t="s">
        <v>45</v>
      </c>
      <c r="F350" s="3" t="s">
        <v>45</v>
      </c>
      <c r="G350" s="3"/>
      <c r="H350" s="3" t="s">
        <v>654</v>
      </c>
      <c r="I350" s="3" t="s">
        <v>16</v>
      </c>
      <c r="J350" s="3" t="s">
        <v>21</v>
      </c>
    </row>
    <row r="351" ht="15.75" customHeight="1">
      <c r="A351" s="3" t="s">
        <v>811</v>
      </c>
      <c r="B351" s="3" t="s">
        <v>566</v>
      </c>
      <c r="C351" s="3" t="s">
        <v>651</v>
      </c>
      <c r="D351" s="3" t="s">
        <v>139</v>
      </c>
      <c r="E351" s="3" t="s">
        <v>45</v>
      </c>
      <c r="F351" s="3" t="s">
        <v>45</v>
      </c>
      <c r="G351" s="3"/>
      <c r="H351" s="3" t="s">
        <v>654</v>
      </c>
      <c r="I351" s="3" t="s">
        <v>16</v>
      </c>
      <c r="J351" s="3" t="s">
        <v>21</v>
      </c>
    </row>
    <row r="352" ht="15.75" customHeight="1">
      <c r="A352" s="3" t="s">
        <v>812</v>
      </c>
      <c r="B352" s="3" t="s">
        <v>566</v>
      </c>
      <c r="C352" s="3" t="s">
        <v>651</v>
      </c>
      <c r="D352" s="3" t="s">
        <v>139</v>
      </c>
      <c r="E352" s="3" t="s">
        <v>45</v>
      </c>
      <c r="F352" s="3" t="s">
        <v>45</v>
      </c>
      <c r="G352" s="3"/>
      <c r="H352" s="3" t="s">
        <v>654</v>
      </c>
      <c r="I352" s="3" t="s">
        <v>16</v>
      </c>
      <c r="J352" s="3" t="s">
        <v>21</v>
      </c>
    </row>
    <row r="353" ht="15.75" customHeight="1">
      <c r="A353" s="3" t="s">
        <v>813</v>
      </c>
      <c r="B353" s="3" t="s">
        <v>566</v>
      </c>
      <c r="C353" s="3" t="s">
        <v>651</v>
      </c>
      <c r="D353" s="3" t="s">
        <v>139</v>
      </c>
      <c r="E353" s="3" t="s">
        <v>45</v>
      </c>
      <c r="F353" s="3" t="s">
        <v>45</v>
      </c>
      <c r="G353" s="3"/>
      <c r="H353" s="3" t="s">
        <v>654</v>
      </c>
      <c r="I353" s="3" t="s">
        <v>16</v>
      </c>
      <c r="J353" s="3" t="s">
        <v>21</v>
      </c>
    </row>
    <row r="354" ht="15.75" customHeight="1">
      <c r="A354" s="3" t="s">
        <v>814</v>
      </c>
      <c r="B354" s="3" t="s">
        <v>566</v>
      </c>
      <c r="C354" s="3" t="s">
        <v>651</v>
      </c>
      <c r="D354" s="3" t="s">
        <v>139</v>
      </c>
      <c r="E354" s="3" t="s">
        <v>45</v>
      </c>
      <c r="F354" s="3" t="s">
        <v>45</v>
      </c>
      <c r="G354" s="3"/>
      <c r="H354" s="3" t="s">
        <v>654</v>
      </c>
      <c r="I354" s="3" t="s">
        <v>16</v>
      </c>
      <c r="J354" s="3" t="s">
        <v>21</v>
      </c>
    </row>
    <row r="355" ht="15.75" customHeight="1">
      <c r="A355" s="3" t="s">
        <v>815</v>
      </c>
      <c r="B355" s="3" t="s">
        <v>566</v>
      </c>
      <c r="C355" s="3" t="s">
        <v>651</v>
      </c>
      <c r="D355" s="3" t="s">
        <v>139</v>
      </c>
      <c r="E355" s="3" t="s">
        <v>45</v>
      </c>
      <c r="F355" s="3" t="s">
        <v>45</v>
      </c>
      <c r="G355" s="3"/>
      <c r="H355" s="3" t="s">
        <v>654</v>
      </c>
      <c r="I355" s="3" t="s">
        <v>16</v>
      </c>
      <c r="J355" s="3" t="s">
        <v>21</v>
      </c>
    </row>
    <row r="356" ht="15.75" customHeight="1">
      <c r="A356" s="3" t="s">
        <v>816</v>
      </c>
      <c r="B356" s="3" t="s">
        <v>566</v>
      </c>
      <c r="C356" s="3" t="s">
        <v>651</v>
      </c>
      <c r="D356" s="3" t="s">
        <v>139</v>
      </c>
      <c r="E356" s="3" t="s">
        <v>45</v>
      </c>
      <c r="F356" s="3" t="s">
        <v>45</v>
      </c>
      <c r="G356" s="3"/>
      <c r="H356" s="3" t="s">
        <v>654</v>
      </c>
      <c r="I356" s="3" t="s">
        <v>16</v>
      </c>
      <c r="J356" s="3" t="s">
        <v>21</v>
      </c>
    </row>
    <row r="357" ht="15.75" customHeight="1">
      <c r="A357" s="3" t="s">
        <v>817</v>
      </c>
      <c r="B357" s="3" t="s">
        <v>566</v>
      </c>
      <c r="C357" s="3" t="s">
        <v>651</v>
      </c>
      <c r="D357" s="3" t="s">
        <v>139</v>
      </c>
      <c r="E357" s="3" t="s">
        <v>45</v>
      </c>
      <c r="F357" s="3" t="s">
        <v>45</v>
      </c>
      <c r="G357" s="3"/>
      <c r="H357" s="3" t="s">
        <v>654</v>
      </c>
      <c r="I357" s="3" t="s">
        <v>16</v>
      </c>
      <c r="J357" s="3" t="s">
        <v>21</v>
      </c>
    </row>
    <row r="358" ht="15.75" customHeight="1">
      <c r="A358" s="3" t="s">
        <v>818</v>
      </c>
      <c r="B358" s="3" t="s">
        <v>566</v>
      </c>
      <c r="C358" s="3" t="s">
        <v>651</v>
      </c>
      <c r="D358" s="3" t="s">
        <v>139</v>
      </c>
      <c r="E358" s="3" t="s">
        <v>45</v>
      </c>
      <c r="F358" s="3" t="s">
        <v>45</v>
      </c>
      <c r="G358" s="3"/>
      <c r="H358" s="3" t="s">
        <v>654</v>
      </c>
      <c r="I358" s="3" t="s">
        <v>16</v>
      </c>
      <c r="J358" s="3" t="s">
        <v>21</v>
      </c>
    </row>
    <row r="359" ht="15.75" customHeight="1">
      <c r="A359" s="3" t="s">
        <v>819</v>
      </c>
      <c r="B359" s="3" t="s">
        <v>566</v>
      </c>
      <c r="C359" s="3" t="s">
        <v>651</v>
      </c>
      <c r="D359" s="3" t="s">
        <v>139</v>
      </c>
      <c r="E359" s="3" t="s">
        <v>45</v>
      </c>
      <c r="F359" s="3" t="s">
        <v>45</v>
      </c>
      <c r="G359" s="3"/>
      <c r="H359" s="3" t="s">
        <v>654</v>
      </c>
      <c r="I359" s="3" t="s">
        <v>16</v>
      </c>
      <c r="J359" s="3" t="s">
        <v>21</v>
      </c>
    </row>
    <row r="360" ht="15.75" customHeight="1">
      <c r="A360" s="3" t="s">
        <v>820</v>
      </c>
      <c r="B360" s="3" t="s">
        <v>566</v>
      </c>
      <c r="C360" s="3" t="s">
        <v>651</v>
      </c>
      <c r="D360" s="3" t="s">
        <v>139</v>
      </c>
      <c r="E360" s="3" t="s">
        <v>45</v>
      </c>
      <c r="F360" s="3" t="s">
        <v>45</v>
      </c>
      <c r="G360" s="3"/>
      <c r="H360" s="3" t="s">
        <v>654</v>
      </c>
      <c r="I360" s="3" t="s">
        <v>16</v>
      </c>
      <c r="J360" s="3" t="s">
        <v>21</v>
      </c>
    </row>
    <row r="361" ht="15.75" customHeight="1">
      <c r="A361" s="3" t="s">
        <v>821</v>
      </c>
      <c r="B361" s="3" t="s">
        <v>566</v>
      </c>
      <c r="C361" s="3" t="s">
        <v>651</v>
      </c>
      <c r="D361" s="3" t="s">
        <v>139</v>
      </c>
      <c r="E361" s="3" t="s">
        <v>45</v>
      </c>
      <c r="F361" s="3" t="s">
        <v>45</v>
      </c>
      <c r="G361" s="3"/>
      <c r="H361" s="3" t="s">
        <v>654</v>
      </c>
      <c r="I361" s="3" t="s">
        <v>16</v>
      </c>
      <c r="J361" s="3" t="s">
        <v>21</v>
      </c>
    </row>
    <row r="362" ht="15.75" customHeight="1">
      <c r="A362" s="3" t="s">
        <v>822</v>
      </c>
      <c r="B362" s="3" t="s">
        <v>566</v>
      </c>
      <c r="C362" s="3" t="s">
        <v>651</v>
      </c>
      <c r="D362" s="3" t="s">
        <v>139</v>
      </c>
      <c r="E362" s="3" t="s">
        <v>45</v>
      </c>
      <c r="F362" s="3" t="s">
        <v>45</v>
      </c>
      <c r="G362" s="3"/>
      <c r="H362" s="3" t="s">
        <v>654</v>
      </c>
      <c r="I362" s="3" t="s">
        <v>16</v>
      </c>
      <c r="J362" s="3" t="s">
        <v>21</v>
      </c>
    </row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362"/>
  <conditionalFormatting sqref="J2:J362">
    <cfRule type="cellIs" dxfId="0" priority="1" operator="equal">
      <formula>"High"</formula>
    </cfRule>
  </conditionalFormatting>
  <conditionalFormatting sqref="J2:J362">
    <cfRule type="cellIs" dxfId="1" priority="2" operator="equal">
      <formula>"Medium"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70.0"/>
    <col customWidth="1" min="3" max="3" width="50.0"/>
    <col customWidth="1" min="4" max="4" width="10.0"/>
    <col customWidth="1" min="5" max="26" width="8.71"/>
  </cols>
  <sheetData>
    <row r="1" ht="30.0" customHeight="1">
      <c r="A1" s="1" t="s">
        <v>0</v>
      </c>
      <c r="B1" s="1" t="s">
        <v>3</v>
      </c>
      <c r="C1" s="1" t="s">
        <v>4</v>
      </c>
      <c r="D1" s="1" t="s">
        <v>5</v>
      </c>
    </row>
    <row r="2">
      <c r="A2" s="3" t="s">
        <v>7</v>
      </c>
      <c r="B2" s="3" t="s">
        <v>16</v>
      </c>
      <c r="C2" s="3" t="s">
        <v>17</v>
      </c>
      <c r="D2" s="3" t="s">
        <v>18</v>
      </c>
    </row>
    <row r="3">
      <c r="A3" s="3" t="s">
        <v>19</v>
      </c>
      <c r="B3" s="3" t="s">
        <v>16</v>
      </c>
      <c r="C3" s="3" t="s">
        <v>20</v>
      </c>
      <c r="D3" s="3" t="s">
        <v>21</v>
      </c>
    </row>
    <row r="4">
      <c r="A4" s="3" t="s">
        <v>23</v>
      </c>
      <c r="B4" s="3" t="s">
        <v>25</v>
      </c>
      <c r="C4" s="3" t="s">
        <v>27</v>
      </c>
      <c r="D4" s="3" t="s">
        <v>18</v>
      </c>
    </row>
    <row r="5">
      <c r="A5" s="3" t="s">
        <v>30</v>
      </c>
      <c r="B5" s="3" t="s">
        <v>32</v>
      </c>
      <c r="C5" s="3" t="s">
        <v>33</v>
      </c>
      <c r="D5" s="3" t="s">
        <v>18</v>
      </c>
    </row>
    <row r="6">
      <c r="A6" s="3" t="s">
        <v>34</v>
      </c>
      <c r="B6" s="3" t="s">
        <v>35</v>
      </c>
      <c r="C6" s="3" t="s">
        <v>36</v>
      </c>
      <c r="D6" s="3" t="s">
        <v>37</v>
      </c>
    </row>
    <row r="7">
      <c r="A7" s="3" t="s">
        <v>38</v>
      </c>
      <c r="B7" s="3" t="s">
        <v>39</v>
      </c>
      <c r="C7" s="3" t="s">
        <v>40</v>
      </c>
      <c r="D7" s="3" t="s">
        <v>18</v>
      </c>
    </row>
    <row r="8">
      <c r="A8" s="3" t="s">
        <v>41</v>
      </c>
      <c r="B8" s="3" t="s">
        <v>43</v>
      </c>
      <c r="C8" s="3" t="s">
        <v>44</v>
      </c>
      <c r="D8" s="3" t="s">
        <v>18</v>
      </c>
    </row>
    <row r="9">
      <c r="A9" s="3" t="s">
        <v>46</v>
      </c>
      <c r="B9" s="3" t="s">
        <v>47</v>
      </c>
      <c r="C9" s="3" t="s">
        <v>48</v>
      </c>
      <c r="D9" s="3" t="s">
        <v>21</v>
      </c>
    </row>
    <row r="10">
      <c r="A10" s="3" t="s">
        <v>51</v>
      </c>
      <c r="B10" s="3" t="s">
        <v>52</v>
      </c>
      <c r="C10" s="3" t="s">
        <v>48</v>
      </c>
      <c r="D10" s="3" t="s">
        <v>37</v>
      </c>
    </row>
    <row r="11">
      <c r="A11" s="3" t="s">
        <v>55</v>
      </c>
      <c r="B11" s="3" t="s">
        <v>32</v>
      </c>
      <c r="C11" s="3" t="s">
        <v>56</v>
      </c>
      <c r="D11" s="3" t="s">
        <v>18</v>
      </c>
    </row>
    <row r="12">
      <c r="A12" s="3" t="s">
        <v>59</v>
      </c>
      <c r="B12" s="3" t="s">
        <v>61</v>
      </c>
      <c r="C12" s="3" t="s">
        <v>48</v>
      </c>
      <c r="D12" s="3" t="s">
        <v>37</v>
      </c>
    </row>
    <row r="13">
      <c r="A13" s="3" t="s">
        <v>63</v>
      </c>
      <c r="B13" s="3" t="s">
        <v>64</v>
      </c>
      <c r="C13" s="3" t="s">
        <v>65</v>
      </c>
      <c r="D13" s="3" t="s">
        <v>37</v>
      </c>
    </row>
    <row r="14">
      <c r="A14" s="3" t="s">
        <v>67</v>
      </c>
      <c r="B14" s="3" t="s">
        <v>68</v>
      </c>
      <c r="C14" s="3" t="s">
        <v>69</v>
      </c>
      <c r="D14" s="3" t="s">
        <v>37</v>
      </c>
    </row>
    <row r="15">
      <c r="A15" s="3" t="s">
        <v>70</v>
      </c>
      <c r="B15" s="3" t="s">
        <v>72</v>
      </c>
      <c r="C15" s="3" t="s">
        <v>48</v>
      </c>
      <c r="D15" s="3" t="s">
        <v>21</v>
      </c>
    </row>
    <row r="16">
      <c r="A16" s="3" t="s">
        <v>74</v>
      </c>
      <c r="B16" s="3" t="s">
        <v>43</v>
      </c>
      <c r="C16" s="3" t="s">
        <v>75</v>
      </c>
      <c r="D16" s="3" t="s">
        <v>18</v>
      </c>
    </row>
    <row r="17">
      <c r="A17" s="3" t="s">
        <v>76</v>
      </c>
      <c r="B17" s="3" t="s">
        <v>77</v>
      </c>
      <c r="C17" s="3" t="s">
        <v>79</v>
      </c>
      <c r="D17" s="3" t="s">
        <v>37</v>
      </c>
    </row>
    <row r="18">
      <c r="A18" s="3" t="s">
        <v>82</v>
      </c>
      <c r="B18" s="3" t="s">
        <v>83</v>
      </c>
      <c r="C18" s="3" t="s">
        <v>84</v>
      </c>
      <c r="D18" s="3" t="s">
        <v>37</v>
      </c>
    </row>
    <row r="19">
      <c r="A19" s="3" t="s">
        <v>85</v>
      </c>
      <c r="B19" s="3" t="s">
        <v>86</v>
      </c>
      <c r="C19" s="3" t="s">
        <v>87</v>
      </c>
      <c r="D19" s="3" t="s">
        <v>21</v>
      </c>
    </row>
    <row r="20">
      <c r="A20" s="3" t="s">
        <v>88</v>
      </c>
      <c r="B20" s="3" t="s">
        <v>89</v>
      </c>
      <c r="C20" s="3" t="s">
        <v>87</v>
      </c>
      <c r="D20" s="3" t="s">
        <v>21</v>
      </c>
    </row>
    <row r="21" ht="15.75" customHeight="1">
      <c r="A21" s="3" t="s">
        <v>90</v>
      </c>
      <c r="B21" s="3" t="s">
        <v>92</v>
      </c>
      <c r="C21" s="3" t="s">
        <v>93</v>
      </c>
      <c r="D21" s="3" t="s">
        <v>37</v>
      </c>
    </row>
    <row r="22" ht="15.75" customHeight="1">
      <c r="A22" s="3" t="s">
        <v>96</v>
      </c>
      <c r="B22" s="3" t="s">
        <v>97</v>
      </c>
      <c r="C22" s="3" t="s">
        <v>99</v>
      </c>
      <c r="D22" s="3" t="s">
        <v>18</v>
      </c>
    </row>
    <row r="23" ht="15.75" customHeight="1">
      <c r="A23" s="3" t="s">
        <v>101</v>
      </c>
      <c r="B23" s="3" t="s">
        <v>103</v>
      </c>
      <c r="C23" s="3" t="s">
        <v>104</v>
      </c>
      <c r="D23" s="3" t="s">
        <v>18</v>
      </c>
    </row>
    <row r="24" ht="15.75" customHeight="1">
      <c r="A24" s="3" t="s">
        <v>106</v>
      </c>
      <c r="B24" s="3" t="s">
        <v>108</v>
      </c>
      <c r="C24" s="3" t="s">
        <v>109</v>
      </c>
      <c r="D24" s="3" t="s">
        <v>18</v>
      </c>
    </row>
    <row r="25" ht="15.75" customHeight="1">
      <c r="A25" s="3" t="s">
        <v>111</v>
      </c>
      <c r="B25" s="3" t="s">
        <v>16</v>
      </c>
      <c r="C25" s="3" t="s">
        <v>112</v>
      </c>
      <c r="D25" s="3" t="s">
        <v>21</v>
      </c>
    </row>
    <row r="26" ht="15.75" customHeight="1">
      <c r="A26" s="3" t="s">
        <v>114</v>
      </c>
      <c r="B26" s="3" t="s">
        <v>116</v>
      </c>
      <c r="C26" s="3" t="s">
        <v>117</v>
      </c>
      <c r="D26" s="3" t="s">
        <v>37</v>
      </c>
    </row>
    <row r="27" ht="15.75" customHeight="1">
      <c r="A27" s="3" t="s">
        <v>120</v>
      </c>
      <c r="B27" s="3" t="s">
        <v>121</v>
      </c>
      <c r="C27" s="3" t="s">
        <v>117</v>
      </c>
      <c r="D27" s="3" t="s">
        <v>37</v>
      </c>
    </row>
    <row r="28" ht="15.75" customHeight="1">
      <c r="A28" s="3" t="s">
        <v>123</v>
      </c>
      <c r="B28" s="3" t="s">
        <v>124</v>
      </c>
      <c r="C28" s="3" t="s">
        <v>117</v>
      </c>
      <c r="D28" s="3" t="s">
        <v>37</v>
      </c>
    </row>
    <row r="29" ht="15.75" customHeight="1">
      <c r="A29" s="3" t="s">
        <v>126</v>
      </c>
      <c r="B29" s="3" t="s">
        <v>127</v>
      </c>
      <c r="C29" s="3" t="s">
        <v>117</v>
      </c>
      <c r="D29" s="3" t="s">
        <v>37</v>
      </c>
    </row>
    <row r="30" ht="15.75" customHeight="1">
      <c r="A30" s="3" t="s">
        <v>130</v>
      </c>
      <c r="B30" s="3" t="s">
        <v>110</v>
      </c>
      <c r="C30" s="3" t="s">
        <v>132</v>
      </c>
      <c r="D30" s="3" t="s">
        <v>37</v>
      </c>
    </row>
    <row r="31" ht="15.75" customHeight="1">
      <c r="A31" s="3" t="s">
        <v>134</v>
      </c>
      <c r="B31" s="3" t="s">
        <v>16</v>
      </c>
      <c r="C31" s="3" t="s">
        <v>112</v>
      </c>
      <c r="D31" s="3" t="s">
        <v>21</v>
      </c>
    </row>
    <row r="32" ht="15.75" customHeight="1">
      <c r="A32" s="3" t="s">
        <v>136</v>
      </c>
      <c r="B32" s="3" t="s">
        <v>110</v>
      </c>
      <c r="C32" s="3" t="s">
        <v>132</v>
      </c>
      <c r="D32" s="3" t="s">
        <v>37</v>
      </c>
    </row>
    <row r="33" ht="15.75" customHeight="1">
      <c r="A33" s="3" t="s">
        <v>138</v>
      </c>
      <c r="B33" s="3" t="s">
        <v>110</v>
      </c>
      <c r="C33" s="3" t="s">
        <v>132</v>
      </c>
      <c r="D33" s="3" t="s">
        <v>37</v>
      </c>
    </row>
    <row r="34" ht="15.75" customHeight="1">
      <c r="A34" s="3" t="s">
        <v>143</v>
      </c>
      <c r="B34" s="3" t="s">
        <v>110</v>
      </c>
      <c r="C34" s="3" t="s">
        <v>132</v>
      </c>
      <c r="D34" s="3" t="s">
        <v>37</v>
      </c>
    </row>
    <row r="35" ht="15.75" customHeight="1">
      <c r="A35" s="3" t="s">
        <v>146</v>
      </c>
      <c r="B35" s="3" t="s">
        <v>147</v>
      </c>
      <c r="C35" s="3" t="s">
        <v>117</v>
      </c>
      <c r="D35" s="3" t="s">
        <v>37</v>
      </c>
    </row>
    <row r="36" ht="15.75" customHeight="1">
      <c r="A36" s="3" t="s">
        <v>149</v>
      </c>
      <c r="B36" s="3" t="s">
        <v>16</v>
      </c>
      <c r="C36" s="3" t="s">
        <v>112</v>
      </c>
      <c r="D36" s="3" t="s">
        <v>21</v>
      </c>
    </row>
    <row r="37" ht="15.75" customHeight="1">
      <c r="A37" s="3" t="s">
        <v>152</v>
      </c>
      <c r="B37" s="3" t="s">
        <v>16</v>
      </c>
      <c r="C37" s="3" t="s">
        <v>112</v>
      </c>
      <c r="D37" s="3" t="s">
        <v>21</v>
      </c>
    </row>
    <row r="38" ht="15.75" customHeight="1">
      <c r="A38" s="3" t="s">
        <v>154</v>
      </c>
      <c r="B38" s="3" t="s">
        <v>16</v>
      </c>
      <c r="C38" s="3" t="s">
        <v>112</v>
      </c>
      <c r="D38" s="3" t="s">
        <v>21</v>
      </c>
    </row>
    <row r="39" ht="15.75" customHeight="1">
      <c r="A39" s="3" t="s">
        <v>157</v>
      </c>
      <c r="B39" s="3" t="s">
        <v>116</v>
      </c>
      <c r="C39" s="3" t="s">
        <v>117</v>
      </c>
      <c r="D39" s="3" t="s">
        <v>37</v>
      </c>
    </row>
    <row r="40" ht="15.75" customHeight="1">
      <c r="A40" s="3" t="s">
        <v>160</v>
      </c>
      <c r="B40" s="3" t="s">
        <v>16</v>
      </c>
      <c r="C40" s="3" t="s">
        <v>112</v>
      </c>
      <c r="D40" s="3" t="s">
        <v>21</v>
      </c>
    </row>
    <row r="41" ht="15.75" customHeight="1">
      <c r="A41" s="3" t="s">
        <v>161</v>
      </c>
      <c r="B41" s="3" t="s">
        <v>162</v>
      </c>
      <c r="C41" s="3" t="s">
        <v>117</v>
      </c>
      <c r="D41" s="3" t="s">
        <v>37</v>
      </c>
    </row>
    <row r="42" ht="15.75" customHeight="1">
      <c r="A42" s="3" t="s">
        <v>169</v>
      </c>
      <c r="B42" s="3" t="s">
        <v>116</v>
      </c>
      <c r="C42" s="3" t="s">
        <v>117</v>
      </c>
      <c r="D42" s="3" t="s">
        <v>37</v>
      </c>
    </row>
    <row r="43" ht="15.75" customHeight="1">
      <c r="A43" s="3" t="s">
        <v>173</v>
      </c>
      <c r="B43" s="3" t="s">
        <v>16</v>
      </c>
      <c r="C43" s="3" t="s">
        <v>112</v>
      </c>
      <c r="D43" s="3" t="s">
        <v>21</v>
      </c>
    </row>
    <row r="44" ht="15.75" customHeight="1">
      <c r="A44" s="3" t="s">
        <v>176</v>
      </c>
      <c r="B44" s="3" t="s">
        <v>16</v>
      </c>
      <c r="C44" s="3" t="s">
        <v>177</v>
      </c>
      <c r="D44" s="3" t="s">
        <v>37</v>
      </c>
    </row>
    <row r="45" ht="15.75" customHeight="1">
      <c r="A45" s="3" t="s">
        <v>179</v>
      </c>
      <c r="B45" s="3" t="s">
        <v>16</v>
      </c>
      <c r="C45" s="3" t="s">
        <v>112</v>
      </c>
      <c r="D45" s="3" t="s">
        <v>21</v>
      </c>
    </row>
    <row r="46" ht="15.75" customHeight="1">
      <c r="A46" s="3" t="s">
        <v>180</v>
      </c>
      <c r="B46" s="3" t="s">
        <v>16</v>
      </c>
      <c r="C46" s="3" t="s">
        <v>112</v>
      </c>
      <c r="D46" s="3" t="s">
        <v>21</v>
      </c>
    </row>
    <row r="47" ht="15.75" customHeight="1">
      <c r="A47" s="3" t="s">
        <v>184</v>
      </c>
      <c r="B47" s="3" t="s">
        <v>16</v>
      </c>
      <c r="C47" s="3" t="s">
        <v>112</v>
      </c>
      <c r="D47" s="3" t="s">
        <v>21</v>
      </c>
    </row>
    <row r="48" ht="15.75" customHeight="1">
      <c r="A48" s="3" t="s">
        <v>189</v>
      </c>
      <c r="B48" s="3" t="s">
        <v>190</v>
      </c>
      <c r="C48" s="3" t="s">
        <v>117</v>
      </c>
      <c r="D48" s="3" t="s">
        <v>37</v>
      </c>
    </row>
    <row r="49" ht="15.75" customHeight="1">
      <c r="A49" s="3" t="s">
        <v>192</v>
      </c>
      <c r="B49" s="3" t="s">
        <v>124</v>
      </c>
      <c r="C49" s="3" t="s">
        <v>117</v>
      </c>
      <c r="D49" s="3" t="s">
        <v>37</v>
      </c>
    </row>
    <row r="50" ht="15.75" customHeight="1">
      <c r="A50" s="3" t="s">
        <v>196</v>
      </c>
      <c r="B50" s="3" t="s">
        <v>127</v>
      </c>
      <c r="C50" s="3" t="s">
        <v>117</v>
      </c>
      <c r="D50" s="3" t="s">
        <v>37</v>
      </c>
    </row>
    <row r="51" ht="15.75" customHeight="1">
      <c r="A51" s="3" t="s">
        <v>199</v>
      </c>
      <c r="B51" s="3" t="s">
        <v>16</v>
      </c>
      <c r="C51" s="3" t="s">
        <v>202</v>
      </c>
      <c r="D51" s="3" t="s">
        <v>21</v>
      </c>
    </row>
    <row r="52" ht="15.75" customHeight="1">
      <c r="A52" s="3" t="s">
        <v>203</v>
      </c>
      <c r="B52" s="3" t="s">
        <v>16</v>
      </c>
      <c r="C52" s="3" t="s">
        <v>202</v>
      </c>
      <c r="D52" s="3" t="s">
        <v>21</v>
      </c>
    </row>
    <row r="53" ht="15.75" customHeight="1">
      <c r="A53" s="3" t="s">
        <v>205</v>
      </c>
      <c r="B53" s="3" t="s">
        <v>16</v>
      </c>
      <c r="C53" s="3" t="s">
        <v>206</v>
      </c>
      <c r="D53" s="3" t="s">
        <v>21</v>
      </c>
    </row>
    <row r="54" ht="15.75" customHeight="1">
      <c r="A54" s="3" t="s">
        <v>209</v>
      </c>
      <c r="B54" s="3" t="s">
        <v>210</v>
      </c>
      <c r="C54" s="3" t="s">
        <v>117</v>
      </c>
      <c r="D54" s="3" t="s">
        <v>37</v>
      </c>
    </row>
    <row r="55" ht="15.75" customHeight="1">
      <c r="A55" s="3" t="s">
        <v>212</v>
      </c>
      <c r="B55" s="3" t="s">
        <v>127</v>
      </c>
      <c r="C55" s="3" t="s">
        <v>117</v>
      </c>
      <c r="D55" s="3" t="s">
        <v>37</v>
      </c>
    </row>
    <row r="56" ht="15.75" customHeight="1">
      <c r="A56" s="3" t="s">
        <v>216</v>
      </c>
      <c r="B56" s="3" t="s">
        <v>16</v>
      </c>
      <c r="C56" s="3" t="s">
        <v>206</v>
      </c>
      <c r="D56" s="3" t="s">
        <v>21</v>
      </c>
    </row>
    <row r="57" ht="15.75" customHeight="1">
      <c r="A57" s="3" t="s">
        <v>221</v>
      </c>
      <c r="B57" s="3" t="s">
        <v>222</v>
      </c>
      <c r="C57" s="3" t="s">
        <v>117</v>
      </c>
      <c r="D57" s="3" t="s">
        <v>37</v>
      </c>
    </row>
    <row r="58" ht="15.75" customHeight="1">
      <c r="A58" s="3" t="s">
        <v>225</v>
      </c>
      <c r="B58" s="3" t="s">
        <v>226</v>
      </c>
      <c r="C58" s="3" t="s">
        <v>117</v>
      </c>
      <c r="D58" s="3" t="s">
        <v>37</v>
      </c>
    </row>
    <row r="59" ht="15.75" customHeight="1">
      <c r="A59" s="3" t="s">
        <v>230</v>
      </c>
      <c r="B59" s="3" t="s">
        <v>16</v>
      </c>
      <c r="C59" s="3" t="s">
        <v>206</v>
      </c>
      <c r="D59" s="3" t="s">
        <v>21</v>
      </c>
    </row>
    <row r="60" ht="15.75" customHeight="1">
      <c r="A60" s="3" t="s">
        <v>232</v>
      </c>
      <c r="B60" s="3" t="s">
        <v>16</v>
      </c>
      <c r="C60" s="3" t="s">
        <v>206</v>
      </c>
      <c r="D60" s="3" t="s">
        <v>21</v>
      </c>
    </row>
    <row r="61" ht="15.75" customHeight="1">
      <c r="A61" s="3" t="s">
        <v>233</v>
      </c>
      <c r="B61" s="3" t="s">
        <v>235</v>
      </c>
      <c r="C61" s="3" t="s">
        <v>117</v>
      </c>
      <c r="D61" s="3" t="s">
        <v>37</v>
      </c>
    </row>
    <row r="62" ht="15.75" customHeight="1">
      <c r="A62" s="3" t="s">
        <v>238</v>
      </c>
      <c r="B62" s="3" t="s">
        <v>16</v>
      </c>
      <c r="C62" s="3" t="s">
        <v>206</v>
      </c>
      <c r="D62" s="3" t="s">
        <v>21</v>
      </c>
    </row>
    <row r="63" ht="15.75" customHeight="1">
      <c r="A63" s="3" t="s">
        <v>242</v>
      </c>
      <c r="B63" s="3" t="s">
        <v>155</v>
      </c>
      <c r="C63" s="3" t="s">
        <v>243</v>
      </c>
      <c r="D63" s="3" t="s">
        <v>18</v>
      </c>
    </row>
    <row r="64" ht="15.75" customHeight="1">
      <c r="A64" s="3" t="s">
        <v>246</v>
      </c>
      <c r="B64" s="3" t="s">
        <v>164</v>
      </c>
      <c r="C64" s="3" t="s">
        <v>243</v>
      </c>
      <c r="D64" s="3" t="s">
        <v>18</v>
      </c>
    </row>
    <row r="65" ht="15.75" customHeight="1">
      <c r="A65" s="3" t="s">
        <v>247</v>
      </c>
      <c r="B65" s="3" t="s">
        <v>16</v>
      </c>
      <c r="C65" s="3" t="s">
        <v>206</v>
      </c>
      <c r="D65" s="3" t="s">
        <v>21</v>
      </c>
    </row>
    <row r="66" ht="15.75" customHeight="1">
      <c r="A66" s="3" t="s">
        <v>251</v>
      </c>
      <c r="B66" s="3" t="s">
        <v>16</v>
      </c>
      <c r="C66" s="3" t="s">
        <v>206</v>
      </c>
      <c r="D66" s="3" t="s">
        <v>21</v>
      </c>
    </row>
    <row r="67" ht="15.75" customHeight="1">
      <c r="A67" s="3" t="s">
        <v>252</v>
      </c>
      <c r="B67" s="3" t="s">
        <v>16</v>
      </c>
      <c r="C67" s="3" t="s">
        <v>112</v>
      </c>
      <c r="D67" s="3" t="s">
        <v>21</v>
      </c>
    </row>
    <row r="68" ht="15.75" customHeight="1">
      <c r="A68" s="3" t="s">
        <v>256</v>
      </c>
      <c r="B68" s="3" t="s">
        <v>16</v>
      </c>
      <c r="C68" s="3" t="s">
        <v>206</v>
      </c>
      <c r="D68" s="3" t="s">
        <v>21</v>
      </c>
    </row>
    <row r="69" ht="15.75" customHeight="1">
      <c r="A69" s="3" t="s">
        <v>259</v>
      </c>
      <c r="B69" s="3" t="s">
        <v>226</v>
      </c>
      <c r="C69" s="3" t="s">
        <v>117</v>
      </c>
      <c r="D69" s="3" t="s">
        <v>37</v>
      </c>
    </row>
    <row r="70" ht="15.75" customHeight="1">
      <c r="A70" s="3" t="s">
        <v>261</v>
      </c>
      <c r="B70" s="3" t="s">
        <v>235</v>
      </c>
      <c r="C70" s="3" t="s">
        <v>117</v>
      </c>
      <c r="D70" s="3" t="s">
        <v>37</v>
      </c>
    </row>
    <row r="71" ht="15.75" customHeight="1">
      <c r="A71" s="3" t="s">
        <v>264</v>
      </c>
      <c r="B71" s="3" t="s">
        <v>16</v>
      </c>
      <c r="C71" s="3" t="s">
        <v>206</v>
      </c>
      <c r="D71" s="3" t="s">
        <v>21</v>
      </c>
    </row>
    <row r="72" ht="15.75" customHeight="1">
      <c r="A72" s="3" t="s">
        <v>268</v>
      </c>
      <c r="B72" s="3" t="s">
        <v>269</v>
      </c>
      <c r="C72" s="3" t="s">
        <v>117</v>
      </c>
      <c r="D72" s="3" t="s">
        <v>37</v>
      </c>
    </row>
    <row r="73" ht="15.75" customHeight="1">
      <c r="A73" s="3" t="s">
        <v>271</v>
      </c>
      <c r="B73" s="3" t="s">
        <v>16</v>
      </c>
      <c r="C73" s="3" t="s">
        <v>112</v>
      </c>
      <c r="D73" s="3" t="s">
        <v>21</v>
      </c>
    </row>
    <row r="74" ht="15.75" customHeight="1">
      <c r="A74" s="3" t="s">
        <v>276</v>
      </c>
      <c r="B74" s="3" t="s">
        <v>16</v>
      </c>
      <c r="C74" s="3" t="s">
        <v>206</v>
      </c>
      <c r="D74" s="3" t="s">
        <v>21</v>
      </c>
    </row>
    <row r="75" ht="15.75" customHeight="1">
      <c r="A75" s="3" t="s">
        <v>278</v>
      </c>
      <c r="B75" s="3" t="s">
        <v>16</v>
      </c>
      <c r="C75" s="3" t="s">
        <v>112</v>
      </c>
      <c r="D75" s="3" t="s">
        <v>21</v>
      </c>
    </row>
    <row r="76" ht="15.75" customHeight="1">
      <c r="A76" s="3" t="s">
        <v>281</v>
      </c>
      <c r="B76" s="3" t="s">
        <v>16</v>
      </c>
      <c r="C76" s="3" t="s">
        <v>206</v>
      </c>
      <c r="D76" s="3" t="s">
        <v>21</v>
      </c>
    </row>
    <row r="77" ht="15.75" customHeight="1">
      <c r="A77" s="3" t="s">
        <v>283</v>
      </c>
      <c r="B77" s="3" t="s">
        <v>284</v>
      </c>
      <c r="C77" s="3" t="s">
        <v>117</v>
      </c>
      <c r="D77" s="3" t="s">
        <v>37</v>
      </c>
    </row>
    <row r="78" ht="15.75" customHeight="1">
      <c r="A78" s="3" t="s">
        <v>286</v>
      </c>
      <c r="B78" s="3" t="s">
        <v>288</v>
      </c>
      <c r="C78" s="3" t="s">
        <v>117</v>
      </c>
      <c r="D78" s="3" t="s">
        <v>37</v>
      </c>
    </row>
    <row r="79" ht="15.75" customHeight="1">
      <c r="A79" s="3" t="s">
        <v>290</v>
      </c>
      <c r="B79" s="3" t="s">
        <v>16</v>
      </c>
      <c r="C79" s="3" t="s">
        <v>112</v>
      </c>
      <c r="D79" s="3" t="s">
        <v>21</v>
      </c>
    </row>
    <row r="80" ht="15.75" customHeight="1">
      <c r="A80" s="3" t="s">
        <v>292</v>
      </c>
      <c r="B80" s="3" t="s">
        <v>16</v>
      </c>
      <c r="C80" s="3" t="s">
        <v>206</v>
      </c>
      <c r="D80" s="3" t="s">
        <v>21</v>
      </c>
    </row>
    <row r="81" ht="15.75" customHeight="1">
      <c r="A81" s="3" t="s">
        <v>294</v>
      </c>
      <c r="B81" s="3" t="s">
        <v>16</v>
      </c>
      <c r="C81" s="3" t="s">
        <v>206</v>
      </c>
      <c r="D81" s="3" t="s">
        <v>21</v>
      </c>
    </row>
    <row r="82" ht="15.75" customHeight="1">
      <c r="A82" s="3" t="s">
        <v>297</v>
      </c>
      <c r="B82" s="3" t="s">
        <v>16</v>
      </c>
      <c r="C82" s="3" t="s">
        <v>206</v>
      </c>
      <c r="D82" s="3" t="s">
        <v>21</v>
      </c>
    </row>
    <row r="83" ht="15.75" customHeight="1">
      <c r="A83" s="3" t="s">
        <v>302</v>
      </c>
      <c r="B83" s="3" t="s">
        <v>16</v>
      </c>
      <c r="C83" s="3" t="s">
        <v>206</v>
      </c>
      <c r="D83" s="3" t="s">
        <v>21</v>
      </c>
    </row>
    <row r="84" ht="15.75" customHeight="1">
      <c r="A84" s="3" t="s">
        <v>306</v>
      </c>
      <c r="B84" s="3" t="s">
        <v>16</v>
      </c>
      <c r="C84" s="3" t="s">
        <v>206</v>
      </c>
      <c r="D84" s="3" t="s">
        <v>21</v>
      </c>
    </row>
    <row r="85" ht="15.75" customHeight="1">
      <c r="A85" s="3" t="s">
        <v>307</v>
      </c>
      <c r="B85" s="3" t="s">
        <v>16</v>
      </c>
      <c r="C85" s="3" t="s">
        <v>112</v>
      </c>
      <c r="D85" s="3" t="s">
        <v>21</v>
      </c>
    </row>
    <row r="86" ht="15.75" customHeight="1">
      <c r="A86" s="3" t="s">
        <v>312</v>
      </c>
      <c r="B86" s="3" t="s">
        <v>16</v>
      </c>
      <c r="C86" s="3" t="s">
        <v>206</v>
      </c>
      <c r="D86" s="3" t="s">
        <v>21</v>
      </c>
    </row>
    <row r="87" ht="15.75" customHeight="1">
      <c r="A87" s="3" t="s">
        <v>313</v>
      </c>
      <c r="B87" s="3" t="s">
        <v>16</v>
      </c>
      <c r="C87" s="3" t="s">
        <v>206</v>
      </c>
      <c r="D87" s="3" t="s">
        <v>21</v>
      </c>
    </row>
    <row r="88" ht="15.75" customHeight="1">
      <c r="A88" s="3" t="s">
        <v>317</v>
      </c>
      <c r="B88" s="3" t="s">
        <v>16</v>
      </c>
      <c r="C88" s="3" t="s">
        <v>206</v>
      </c>
      <c r="D88" s="3" t="s">
        <v>21</v>
      </c>
    </row>
    <row r="89" ht="15.75" customHeight="1">
      <c r="A89" s="3" t="s">
        <v>319</v>
      </c>
      <c r="B89" s="3" t="s">
        <v>16</v>
      </c>
      <c r="C89" s="3" t="s">
        <v>202</v>
      </c>
      <c r="D89" s="3" t="s">
        <v>21</v>
      </c>
    </row>
    <row r="90" ht="15.75" customHeight="1">
      <c r="A90" s="3" t="s">
        <v>321</v>
      </c>
      <c r="B90" s="3" t="s">
        <v>16</v>
      </c>
      <c r="C90" s="3" t="s">
        <v>202</v>
      </c>
      <c r="D90" s="3" t="s">
        <v>21</v>
      </c>
    </row>
    <row r="91" ht="15.75" customHeight="1">
      <c r="A91" s="3" t="s">
        <v>326</v>
      </c>
      <c r="B91" s="3" t="s">
        <v>16</v>
      </c>
      <c r="C91" s="3" t="s">
        <v>202</v>
      </c>
      <c r="D91" s="3" t="s">
        <v>21</v>
      </c>
    </row>
    <row r="92" ht="15.75" customHeight="1">
      <c r="A92" s="3" t="s">
        <v>327</v>
      </c>
      <c r="B92" s="3" t="s">
        <v>16</v>
      </c>
      <c r="C92" s="3" t="s">
        <v>202</v>
      </c>
      <c r="D92" s="3" t="s">
        <v>21</v>
      </c>
    </row>
    <row r="93" ht="15.75" customHeight="1">
      <c r="A93" s="3" t="s">
        <v>332</v>
      </c>
      <c r="B93" s="3" t="s">
        <v>16</v>
      </c>
      <c r="C93" s="3" t="s">
        <v>206</v>
      </c>
      <c r="D93" s="3" t="s">
        <v>21</v>
      </c>
    </row>
    <row r="94" ht="15.75" customHeight="1">
      <c r="A94" s="3" t="s">
        <v>335</v>
      </c>
      <c r="B94" s="3" t="s">
        <v>16</v>
      </c>
      <c r="C94" s="3" t="s">
        <v>206</v>
      </c>
      <c r="D94" s="3" t="s">
        <v>21</v>
      </c>
    </row>
    <row r="95" ht="15.75" customHeight="1">
      <c r="A95" s="3" t="s">
        <v>339</v>
      </c>
      <c r="B95" s="3" t="s">
        <v>16</v>
      </c>
      <c r="C95" s="3" t="s">
        <v>112</v>
      </c>
      <c r="D95" s="3" t="s">
        <v>21</v>
      </c>
    </row>
    <row r="96" ht="15.75" customHeight="1">
      <c r="A96" s="3" t="s">
        <v>342</v>
      </c>
      <c r="B96" s="3" t="s">
        <v>16</v>
      </c>
      <c r="C96" s="3" t="s">
        <v>202</v>
      </c>
      <c r="D96" s="3" t="s">
        <v>21</v>
      </c>
    </row>
    <row r="97" ht="15.75" customHeight="1">
      <c r="A97" s="3" t="s">
        <v>344</v>
      </c>
      <c r="B97" s="3" t="s">
        <v>16</v>
      </c>
      <c r="C97" s="3" t="s">
        <v>206</v>
      </c>
      <c r="D97" s="3" t="s">
        <v>21</v>
      </c>
    </row>
    <row r="98" ht="15.75" customHeight="1">
      <c r="A98" s="3" t="s">
        <v>349</v>
      </c>
      <c r="B98" s="3" t="s">
        <v>16</v>
      </c>
      <c r="C98" s="3" t="s">
        <v>202</v>
      </c>
      <c r="D98" s="3" t="s">
        <v>21</v>
      </c>
    </row>
    <row r="99" ht="15.75" customHeight="1">
      <c r="A99" s="3" t="s">
        <v>350</v>
      </c>
      <c r="B99" s="3" t="s">
        <v>16</v>
      </c>
      <c r="C99" s="3" t="s">
        <v>202</v>
      </c>
      <c r="D99" s="3" t="s">
        <v>21</v>
      </c>
    </row>
    <row r="100" ht="15.75" customHeight="1">
      <c r="A100" s="3" t="s">
        <v>355</v>
      </c>
      <c r="B100" s="3" t="s">
        <v>16</v>
      </c>
      <c r="C100" s="3" t="s">
        <v>206</v>
      </c>
      <c r="D100" s="3" t="s">
        <v>21</v>
      </c>
    </row>
    <row r="101" ht="15.75" customHeight="1">
      <c r="A101" s="3" t="s">
        <v>359</v>
      </c>
      <c r="B101" s="3" t="s">
        <v>16</v>
      </c>
      <c r="C101" s="3" t="s">
        <v>206</v>
      </c>
      <c r="D101" s="3" t="s">
        <v>21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01"/>
  <conditionalFormatting sqref="D2:D101">
    <cfRule type="cellIs" dxfId="0" priority="1" operator="equal">
      <formula>"High"</formula>
    </cfRule>
  </conditionalFormatting>
  <conditionalFormatting sqref="D2:D101">
    <cfRule type="cellIs" dxfId="1" priority="2" operator="equal">
      <formula>"Medium"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57"/>
    <col customWidth="1" min="2" max="2" width="24.0"/>
    <col customWidth="1" min="3" max="3" width="36.0"/>
    <col customWidth="1" min="4" max="5" width="58.0"/>
    <col customWidth="1" min="6" max="6" width="11.0"/>
    <col customWidth="1" min="7" max="7" width="50.0"/>
    <col customWidth="1" min="8" max="26" width="8.71"/>
  </cols>
  <sheetData>
    <row r="1" ht="30.0" customHeight="1">
      <c r="A1" s="1" t="s">
        <v>158</v>
      </c>
      <c r="B1" s="1" t="s">
        <v>6</v>
      </c>
      <c r="C1" s="1" t="s">
        <v>163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s="7">
        <v>0.0</v>
      </c>
      <c r="B2" s="7" t="s">
        <v>24</v>
      </c>
      <c r="C2" s="7" t="s">
        <v>24</v>
      </c>
      <c r="D2" s="7" t="s">
        <v>16</v>
      </c>
      <c r="E2" s="7"/>
      <c r="F2" s="7" t="s">
        <v>31</v>
      </c>
      <c r="G2" s="7"/>
    </row>
    <row r="3">
      <c r="A3" s="7">
        <v>1.0</v>
      </c>
      <c r="B3" s="7" t="s">
        <v>182</v>
      </c>
      <c r="C3" s="7" t="s">
        <v>183</v>
      </c>
      <c r="D3" s="7" t="s">
        <v>185</v>
      </c>
      <c r="E3" s="7" t="s">
        <v>185</v>
      </c>
      <c r="F3" s="7" t="s">
        <v>186</v>
      </c>
      <c r="G3" s="7" t="s">
        <v>187</v>
      </c>
    </row>
    <row r="4">
      <c r="A4" s="3">
        <v>2.0</v>
      </c>
      <c r="B4" s="3" t="s">
        <v>182</v>
      </c>
      <c r="C4" s="3" t="s">
        <v>191</v>
      </c>
      <c r="D4" s="3" t="s">
        <v>193</v>
      </c>
      <c r="E4" s="3"/>
      <c r="F4" s="3" t="s">
        <v>194</v>
      </c>
      <c r="G4" s="3" t="s">
        <v>195</v>
      </c>
    </row>
    <row r="5">
      <c r="A5" s="3">
        <v>3.0</v>
      </c>
      <c r="B5" s="3" t="s">
        <v>182</v>
      </c>
      <c r="C5" s="3" t="s">
        <v>200</v>
      </c>
      <c r="D5" s="3" t="s">
        <v>201</v>
      </c>
      <c r="E5" s="3" t="s">
        <v>201</v>
      </c>
      <c r="F5" s="3" t="s">
        <v>31</v>
      </c>
      <c r="G5" s="3"/>
    </row>
    <row r="6">
      <c r="A6" s="3">
        <v>3.0</v>
      </c>
      <c r="B6" s="3" t="s">
        <v>182</v>
      </c>
      <c r="C6" s="3" t="s">
        <v>204</v>
      </c>
      <c r="D6" s="3" t="s">
        <v>19</v>
      </c>
      <c r="E6" s="3" t="s">
        <v>19</v>
      </c>
      <c r="F6" s="3" t="s">
        <v>31</v>
      </c>
      <c r="G6" s="3" t="s">
        <v>208</v>
      </c>
    </row>
    <row r="7">
      <c r="A7" s="3">
        <v>3.0</v>
      </c>
      <c r="B7" s="3" t="s">
        <v>182</v>
      </c>
      <c r="C7" s="3" t="s">
        <v>211</v>
      </c>
      <c r="D7" s="3" t="s">
        <v>39</v>
      </c>
      <c r="E7" s="3" t="s">
        <v>39</v>
      </c>
      <c r="F7" s="3" t="s">
        <v>31</v>
      </c>
      <c r="G7" s="3" t="s">
        <v>217</v>
      </c>
    </row>
    <row r="8">
      <c r="A8" s="3">
        <v>2.0</v>
      </c>
      <c r="B8" s="3" t="s">
        <v>182</v>
      </c>
      <c r="C8" s="3" t="s">
        <v>220</v>
      </c>
      <c r="D8" s="3" t="s">
        <v>68</v>
      </c>
      <c r="E8" s="3" t="s">
        <v>67</v>
      </c>
      <c r="F8" s="3" t="s">
        <v>194</v>
      </c>
      <c r="G8" s="3" t="s">
        <v>224</v>
      </c>
    </row>
    <row r="9">
      <c r="A9" s="3">
        <v>3.0</v>
      </c>
      <c r="B9" s="3" t="s">
        <v>182</v>
      </c>
      <c r="C9" s="3" t="s">
        <v>229</v>
      </c>
      <c r="D9" s="3" t="s">
        <v>25</v>
      </c>
      <c r="E9" s="3" t="s">
        <v>25</v>
      </c>
      <c r="F9" s="3" t="s">
        <v>31</v>
      </c>
      <c r="G9" s="3" t="s">
        <v>231</v>
      </c>
    </row>
    <row r="10">
      <c r="A10" s="3">
        <v>3.0</v>
      </c>
      <c r="B10" s="3" t="s">
        <v>182</v>
      </c>
      <c r="C10" s="3" t="s">
        <v>234</v>
      </c>
      <c r="D10" s="3" t="s">
        <v>32</v>
      </c>
      <c r="E10" s="3" t="s">
        <v>32</v>
      </c>
      <c r="F10" s="3" t="s">
        <v>31</v>
      </c>
      <c r="G10" s="3" t="s">
        <v>240</v>
      </c>
    </row>
    <row r="11">
      <c r="A11" s="3">
        <v>3.0</v>
      </c>
      <c r="B11" s="3" t="s">
        <v>182</v>
      </c>
      <c r="C11" s="3" t="s">
        <v>244</v>
      </c>
      <c r="D11" s="3" t="s">
        <v>245</v>
      </c>
      <c r="E11" s="3" t="s">
        <v>245</v>
      </c>
      <c r="F11" s="3" t="s">
        <v>31</v>
      </c>
      <c r="G11" s="3"/>
    </row>
    <row r="12">
      <c r="A12" s="3">
        <v>3.0</v>
      </c>
      <c r="B12" s="3" t="s">
        <v>182</v>
      </c>
      <c r="C12" s="3" t="s">
        <v>249</v>
      </c>
      <c r="D12" s="3" t="s">
        <v>250</v>
      </c>
      <c r="E12" s="3" t="s">
        <v>250</v>
      </c>
      <c r="F12" s="3" t="s">
        <v>31</v>
      </c>
      <c r="G12" s="3"/>
    </row>
    <row r="13">
      <c r="A13" s="3">
        <v>2.0</v>
      </c>
      <c r="B13" s="3" t="s">
        <v>182</v>
      </c>
      <c r="C13" s="3" t="s">
        <v>253</v>
      </c>
      <c r="D13" s="3" t="s">
        <v>254</v>
      </c>
      <c r="E13" s="3"/>
      <c r="F13" s="3" t="s">
        <v>194</v>
      </c>
      <c r="G13" s="3"/>
    </row>
    <row r="14">
      <c r="A14" s="3">
        <v>3.0</v>
      </c>
      <c r="B14" s="3" t="s">
        <v>182</v>
      </c>
      <c r="C14" s="3" t="s">
        <v>260</v>
      </c>
      <c r="D14" s="3" t="s">
        <v>97</v>
      </c>
      <c r="E14" s="3" t="s">
        <v>97</v>
      </c>
      <c r="F14" s="3" t="s">
        <v>31</v>
      </c>
      <c r="G14" s="3" t="s">
        <v>262</v>
      </c>
    </row>
    <row r="15">
      <c r="A15" s="3">
        <v>2.0</v>
      </c>
      <c r="B15" s="3" t="s">
        <v>182</v>
      </c>
      <c r="C15" s="3" t="s">
        <v>265</v>
      </c>
      <c r="D15" s="3" t="s">
        <v>267</v>
      </c>
      <c r="E15" s="3"/>
      <c r="F15" s="3" t="s">
        <v>194</v>
      </c>
      <c r="G15" s="3" t="s">
        <v>270</v>
      </c>
    </row>
    <row r="16">
      <c r="A16" s="7">
        <v>1.0</v>
      </c>
      <c r="B16" s="7" t="s">
        <v>273</v>
      </c>
      <c r="C16" s="7" t="s">
        <v>274</v>
      </c>
      <c r="D16" s="7" t="s">
        <v>275</v>
      </c>
      <c r="E16" s="7"/>
      <c r="F16" s="7" t="s">
        <v>194</v>
      </c>
      <c r="G16" s="7" t="s">
        <v>277</v>
      </c>
    </row>
    <row r="17">
      <c r="A17" s="3">
        <v>2.0</v>
      </c>
      <c r="B17" s="3" t="s">
        <v>279</v>
      </c>
      <c r="C17" s="3" t="s">
        <v>280</v>
      </c>
      <c r="D17" s="3" t="s">
        <v>92</v>
      </c>
      <c r="E17" s="3" t="s">
        <v>90</v>
      </c>
      <c r="F17" s="3" t="s">
        <v>194</v>
      </c>
      <c r="G17" s="3" t="s">
        <v>282</v>
      </c>
    </row>
    <row r="18">
      <c r="A18" s="3">
        <v>3.0</v>
      </c>
      <c r="B18" s="3" t="s">
        <v>279</v>
      </c>
      <c r="C18" s="3" t="s">
        <v>285</v>
      </c>
      <c r="D18" s="3" t="s">
        <v>108</v>
      </c>
      <c r="E18" s="3" t="s">
        <v>108</v>
      </c>
      <c r="F18" s="3" t="s">
        <v>31</v>
      </c>
      <c r="G18" s="3"/>
    </row>
    <row r="19">
      <c r="A19" s="3">
        <v>3.0</v>
      </c>
      <c r="B19" s="3" t="s">
        <v>279</v>
      </c>
      <c r="C19" s="3" t="s">
        <v>291</v>
      </c>
      <c r="D19" s="3" t="s">
        <v>103</v>
      </c>
      <c r="E19" s="3" t="s">
        <v>103</v>
      </c>
      <c r="F19" s="3" t="s">
        <v>31</v>
      </c>
      <c r="G19" s="3"/>
    </row>
    <row r="20">
      <c r="A20" s="3">
        <v>3.0</v>
      </c>
      <c r="B20" s="3" t="s">
        <v>279</v>
      </c>
      <c r="C20" s="3" t="s">
        <v>295</v>
      </c>
      <c r="D20" s="3" t="s">
        <v>89</v>
      </c>
      <c r="E20" s="3" t="s">
        <v>88</v>
      </c>
      <c r="F20" s="3" t="s">
        <v>298</v>
      </c>
      <c r="G20" s="3"/>
    </row>
    <row r="21" ht="15.75" customHeight="1">
      <c r="A21" s="3">
        <v>3.0</v>
      </c>
      <c r="B21" s="3" t="s">
        <v>279</v>
      </c>
      <c r="C21" s="3" t="s">
        <v>305</v>
      </c>
      <c r="D21" s="3" t="s">
        <v>86</v>
      </c>
      <c r="E21" s="3" t="s">
        <v>85</v>
      </c>
      <c r="F21" s="3" t="s">
        <v>298</v>
      </c>
      <c r="G21" s="3"/>
    </row>
    <row r="22" ht="15.75" customHeight="1">
      <c r="A22" s="3">
        <v>3.0</v>
      </c>
      <c r="B22" s="3" t="s">
        <v>279</v>
      </c>
      <c r="C22" s="3" t="s">
        <v>309</v>
      </c>
      <c r="D22" s="3" t="s">
        <v>311</v>
      </c>
      <c r="E22" s="3" t="s">
        <v>311</v>
      </c>
      <c r="F22" s="3" t="s">
        <v>31</v>
      </c>
      <c r="G22" s="3"/>
    </row>
    <row r="23" ht="15.75" customHeight="1">
      <c r="A23" s="3">
        <v>3.0</v>
      </c>
      <c r="B23" s="3" t="s">
        <v>279</v>
      </c>
      <c r="C23" s="3" t="s">
        <v>314</v>
      </c>
      <c r="D23" s="3" t="s">
        <v>315</v>
      </c>
      <c r="E23" s="3" t="s">
        <v>315</v>
      </c>
      <c r="F23" s="3" t="s">
        <v>31</v>
      </c>
      <c r="G23" s="3"/>
    </row>
    <row r="24" ht="15.75" customHeight="1">
      <c r="A24" s="3">
        <v>3.0</v>
      </c>
      <c r="B24" s="3" t="s">
        <v>279</v>
      </c>
      <c r="C24" s="3" t="s">
        <v>318</v>
      </c>
      <c r="D24" s="3" t="s">
        <v>320</v>
      </c>
      <c r="E24" s="3" t="s">
        <v>320</v>
      </c>
      <c r="F24" s="3" t="s">
        <v>31</v>
      </c>
      <c r="G24" s="3"/>
    </row>
    <row r="25" ht="15.75" customHeight="1">
      <c r="A25" s="3">
        <v>2.0</v>
      </c>
      <c r="B25" s="3" t="s">
        <v>323</v>
      </c>
      <c r="C25" s="3" t="s">
        <v>324</v>
      </c>
      <c r="D25" s="3" t="s">
        <v>325</v>
      </c>
      <c r="E25" s="3"/>
      <c r="F25" s="3" t="s">
        <v>194</v>
      </c>
      <c r="G25" s="3"/>
    </row>
    <row r="26" ht="15.75" customHeight="1">
      <c r="A26" s="3">
        <v>3.0</v>
      </c>
      <c r="B26" s="3" t="s">
        <v>323</v>
      </c>
      <c r="C26" s="3" t="s">
        <v>328</v>
      </c>
      <c r="D26" s="3" t="s">
        <v>329</v>
      </c>
      <c r="E26" s="3" t="s">
        <v>329</v>
      </c>
      <c r="F26" s="3" t="s">
        <v>31</v>
      </c>
      <c r="G26" s="3"/>
    </row>
    <row r="27" ht="15.75" customHeight="1">
      <c r="A27" s="3">
        <v>3.0</v>
      </c>
      <c r="B27" s="3" t="s">
        <v>323</v>
      </c>
      <c r="C27" s="3" t="s">
        <v>334</v>
      </c>
      <c r="D27" s="3" t="s">
        <v>336</v>
      </c>
      <c r="E27" s="3"/>
      <c r="F27" s="3" t="s">
        <v>194</v>
      </c>
      <c r="G27" s="3" t="s">
        <v>338</v>
      </c>
    </row>
    <row r="28" ht="15.75" customHeight="1">
      <c r="A28" s="3">
        <v>3.0</v>
      </c>
      <c r="B28" s="3" t="s">
        <v>323</v>
      </c>
      <c r="C28" s="3" t="s">
        <v>340</v>
      </c>
      <c r="D28" s="3" t="s">
        <v>341</v>
      </c>
      <c r="E28" s="3" t="s">
        <v>341</v>
      </c>
      <c r="F28" s="3" t="s">
        <v>31</v>
      </c>
      <c r="G28" s="3"/>
    </row>
    <row r="29" ht="15.75" customHeight="1">
      <c r="A29" s="3">
        <v>3.0</v>
      </c>
      <c r="B29" s="3" t="s">
        <v>323</v>
      </c>
      <c r="C29" s="3" t="s">
        <v>346</v>
      </c>
      <c r="D29" s="3" t="s">
        <v>347</v>
      </c>
      <c r="E29" s="3" t="s">
        <v>347</v>
      </c>
      <c r="F29" s="3" t="s">
        <v>31</v>
      </c>
      <c r="G29" s="3"/>
    </row>
    <row r="30" ht="15.75" customHeight="1">
      <c r="A30" s="3">
        <v>3.0</v>
      </c>
      <c r="B30" s="3" t="s">
        <v>323</v>
      </c>
      <c r="C30" s="3" t="s">
        <v>351</v>
      </c>
      <c r="D30" s="3" t="s">
        <v>353</v>
      </c>
      <c r="E30" s="3"/>
      <c r="F30" s="3" t="s">
        <v>194</v>
      </c>
      <c r="G30" s="3" t="s">
        <v>354</v>
      </c>
    </row>
    <row r="31" ht="15.75" customHeight="1">
      <c r="A31" s="3">
        <v>3.0</v>
      </c>
      <c r="B31" s="3" t="s">
        <v>323</v>
      </c>
      <c r="C31" s="3" t="s">
        <v>358</v>
      </c>
      <c r="D31" s="3" t="s">
        <v>77</v>
      </c>
      <c r="E31" s="3" t="s">
        <v>77</v>
      </c>
      <c r="F31" s="3" t="s">
        <v>31</v>
      </c>
      <c r="G31" s="3" t="s">
        <v>360</v>
      </c>
    </row>
    <row r="32" ht="15.75" customHeight="1">
      <c r="A32" s="3">
        <v>3.0</v>
      </c>
      <c r="B32" s="3" t="s">
        <v>323</v>
      </c>
      <c r="C32" s="3" t="s">
        <v>362</v>
      </c>
      <c r="D32" s="3" t="s">
        <v>363</v>
      </c>
      <c r="E32" s="3" t="s">
        <v>363</v>
      </c>
      <c r="F32" s="3" t="s">
        <v>31</v>
      </c>
      <c r="G32" s="3"/>
    </row>
    <row r="33" ht="15.75" customHeight="1">
      <c r="A33" s="3">
        <v>2.0</v>
      </c>
      <c r="B33" s="3" t="s">
        <v>364</v>
      </c>
      <c r="C33" s="3" t="s">
        <v>365</v>
      </c>
      <c r="D33" s="3" t="s">
        <v>366</v>
      </c>
      <c r="E33" s="3"/>
      <c r="F33" s="3" t="s">
        <v>194</v>
      </c>
      <c r="G33" s="3"/>
    </row>
    <row r="34" ht="15.75" customHeight="1">
      <c r="A34" s="3">
        <v>3.0</v>
      </c>
      <c r="B34" s="3" t="s">
        <v>364</v>
      </c>
      <c r="C34" s="3" t="s">
        <v>368</v>
      </c>
      <c r="D34" s="3" t="s">
        <v>369</v>
      </c>
      <c r="E34" s="3" t="s">
        <v>369</v>
      </c>
      <c r="F34" s="3" t="s">
        <v>31</v>
      </c>
      <c r="G34" s="3"/>
    </row>
    <row r="35" ht="15.75" customHeight="1">
      <c r="A35" s="3">
        <v>3.0</v>
      </c>
      <c r="B35" s="3" t="s">
        <v>364</v>
      </c>
      <c r="C35" s="3" t="s">
        <v>371</v>
      </c>
      <c r="D35" s="3" t="s">
        <v>372</v>
      </c>
      <c r="E35" s="3" t="s">
        <v>372</v>
      </c>
      <c r="F35" s="3" t="s">
        <v>31</v>
      </c>
      <c r="G35" s="3"/>
    </row>
    <row r="36" ht="15.75" customHeight="1">
      <c r="A36" s="3">
        <v>3.0</v>
      </c>
      <c r="B36" s="3" t="s">
        <v>364</v>
      </c>
      <c r="C36" s="3" t="s">
        <v>373</v>
      </c>
      <c r="D36" s="3" t="s">
        <v>374</v>
      </c>
      <c r="E36" s="3" t="s">
        <v>374</v>
      </c>
      <c r="F36" s="3" t="s">
        <v>31</v>
      </c>
      <c r="G36" s="3"/>
    </row>
    <row r="37" ht="15.75" customHeight="1">
      <c r="A37" s="3">
        <v>3.0</v>
      </c>
      <c r="B37" s="3" t="s">
        <v>364</v>
      </c>
      <c r="C37" s="3" t="s">
        <v>376</v>
      </c>
      <c r="D37" s="3" t="s">
        <v>377</v>
      </c>
      <c r="E37" s="3" t="s">
        <v>377</v>
      </c>
      <c r="F37" s="3" t="s">
        <v>31</v>
      </c>
      <c r="G37" s="3"/>
    </row>
    <row r="38" ht="15.75" customHeight="1">
      <c r="A38" s="3">
        <v>3.0</v>
      </c>
      <c r="B38" s="3" t="s">
        <v>364</v>
      </c>
      <c r="C38" s="3" t="s">
        <v>381</v>
      </c>
      <c r="D38" s="3" t="s">
        <v>382</v>
      </c>
      <c r="E38" s="3" t="s">
        <v>382</v>
      </c>
      <c r="F38" s="3" t="s">
        <v>31</v>
      </c>
      <c r="G38" s="3"/>
    </row>
    <row r="39" ht="15.75" customHeight="1">
      <c r="A39" s="3">
        <v>2.0</v>
      </c>
      <c r="B39" s="3" t="s">
        <v>386</v>
      </c>
      <c r="C39" s="3" t="s">
        <v>387</v>
      </c>
      <c r="D39" s="3" t="s">
        <v>388</v>
      </c>
      <c r="E39" s="3"/>
      <c r="F39" s="3" t="s">
        <v>194</v>
      </c>
      <c r="G39" s="3"/>
    </row>
    <row r="40" ht="15.75" customHeight="1">
      <c r="A40" s="3">
        <v>3.0</v>
      </c>
      <c r="B40" s="3" t="s">
        <v>386</v>
      </c>
      <c r="C40" s="3" t="s">
        <v>389</v>
      </c>
      <c r="D40" s="3" t="s">
        <v>391</v>
      </c>
      <c r="E40" s="3" t="s">
        <v>391</v>
      </c>
      <c r="F40" s="3" t="s">
        <v>31</v>
      </c>
      <c r="G40" s="3"/>
    </row>
    <row r="41" ht="15.75" customHeight="1">
      <c r="A41" s="3">
        <v>3.0</v>
      </c>
      <c r="B41" s="3" t="s">
        <v>386</v>
      </c>
      <c r="C41" s="3" t="s">
        <v>392</v>
      </c>
      <c r="D41" s="3" t="s">
        <v>393</v>
      </c>
      <c r="E41" s="3" t="s">
        <v>393</v>
      </c>
      <c r="F41" s="3" t="s">
        <v>31</v>
      </c>
      <c r="G41" s="3"/>
    </row>
    <row r="42" ht="15.75" customHeight="1">
      <c r="A42" s="3">
        <v>3.0</v>
      </c>
      <c r="B42" s="3" t="s">
        <v>386</v>
      </c>
      <c r="C42" s="3" t="s">
        <v>396</v>
      </c>
      <c r="D42" s="3" t="s">
        <v>397</v>
      </c>
      <c r="E42" s="3" t="s">
        <v>397</v>
      </c>
      <c r="F42" s="3" t="s">
        <v>31</v>
      </c>
      <c r="G42" s="3"/>
    </row>
    <row r="43" ht="15.75" customHeight="1">
      <c r="A43" s="3">
        <v>2.0</v>
      </c>
      <c r="B43" s="3" t="s">
        <v>400</v>
      </c>
      <c r="C43" s="3" t="s">
        <v>401</v>
      </c>
      <c r="D43" s="3" t="s">
        <v>402</v>
      </c>
      <c r="E43" s="3"/>
      <c r="F43" s="3" t="s">
        <v>194</v>
      </c>
      <c r="G43" s="3"/>
    </row>
    <row r="44" ht="15.75" customHeight="1">
      <c r="A44" s="3">
        <v>3.0</v>
      </c>
      <c r="B44" s="3" t="s">
        <v>400</v>
      </c>
      <c r="C44" s="3" t="s">
        <v>404</v>
      </c>
      <c r="D44" s="3" t="s">
        <v>43</v>
      </c>
      <c r="E44" s="3" t="s">
        <v>43</v>
      </c>
      <c r="F44" s="3" t="s">
        <v>31</v>
      </c>
      <c r="G44" s="3" t="s">
        <v>405</v>
      </c>
    </row>
    <row r="45" ht="15.75" customHeight="1">
      <c r="A45" s="3">
        <v>3.0</v>
      </c>
      <c r="B45" s="3" t="s">
        <v>400</v>
      </c>
      <c r="C45" s="3" t="s">
        <v>407</v>
      </c>
      <c r="D45" s="3" t="s">
        <v>64</v>
      </c>
      <c r="E45" s="3" t="s">
        <v>64</v>
      </c>
      <c r="F45" s="3" t="s">
        <v>31</v>
      </c>
      <c r="G45" s="3" t="s">
        <v>409</v>
      </c>
    </row>
    <row r="46" ht="15.75" customHeight="1">
      <c r="A46" s="3">
        <v>3.0</v>
      </c>
      <c r="B46" s="3" t="s">
        <v>400</v>
      </c>
      <c r="C46" s="3" t="s">
        <v>410</v>
      </c>
      <c r="D46" s="3" t="s">
        <v>412</v>
      </c>
      <c r="E46" s="3" t="s">
        <v>412</v>
      </c>
      <c r="F46" s="3" t="s">
        <v>31</v>
      </c>
      <c r="G46" s="3"/>
    </row>
    <row r="47" ht="15.75" customHeight="1">
      <c r="A47" s="3">
        <v>3.0</v>
      </c>
      <c r="B47" s="3" t="s">
        <v>400</v>
      </c>
      <c r="C47" s="3" t="s">
        <v>414</v>
      </c>
      <c r="D47" s="3" t="s">
        <v>416</v>
      </c>
      <c r="E47" s="3" t="s">
        <v>416</v>
      </c>
      <c r="F47" s="3" t="s">
        <v>31</v>
      </c>
      <c r="G47" s="3"/>
    </row>
    <row r="48" ht="15.75" customHeight="1">
      <c r="A48" s="3">
        <v>2.0</v>
      </c>
      <c r="B48" s="3" t="s">
        <v>415</v>
      </c>
      <c r="C48" s="3" t="s">
        <v>418</v>
      </c>
      <c r="D48" s="3" t="s">
        <v>419</v>
      </c>
      <c r="E48" s="3"/>
      <c r="F48" s="3" t="s">
        <v>194</v>
      </c>
      <c r="G48" s="3"/>
    </row>
    <row r="49" ht="15.75" customHeight="1">
      <c r="A49" s="3">
        <v>3.0</v>
      </c>
      <c r="B49" s="3" t="s">
        <v>415</v>
      </c>
      <c r="C49" s="3" t="s">
        <v>420</v>
      </c>
      <c r="D49" s="3" t="s">
        <v>421</v>
      </c>
      <c r="E49" s="3" t="s">
        <v>421</v>
      </c>
      <c r="F49" s="3" t="s">
        <v>31</v>
      </c>
      <c r="G49" s="3" t="s">
        <v>422</v>
      </c>
    </row>
    <row r="50" ht="15.75" customHeight="1">
      <c r="A50" s="3">
        <v>3.0</v>
      </c>
      <c r="B50" s="3" t="s">
        <v>415</v>
      </c>
      <c r="C50" s="3" t="s">
        <v>424</v>
      </c>
      <c r="D50" s="3" t="s">
        <v>423</v>
      </c>
      <c r="E50" s="3" t="s">
        <v>423</v>
      </c>
      <c r="F50" s="3" t="s">
        <v>31</v>
      </c>
      <c r="G50" s="3"/>
    </row>
    <row r="51" ht="15.75" customHeight="1">
      <c r="A51" s="3">
        <v>3.0</v>
      </c>
      <c r="B51" s="3" t="s">
        <v>415</v>
      </c>
      <c r="C51" s="3" t="s">
        <v>425</v>
      </c>
      <c r="D51" s="3" t="s">
        <v>426</v>
      </c>
      <c r="E51" s="3" t="s">
        <v>426</v>
      </c>
      <c r="F51" s="3" t="s">
        <v>31</v>
      </c>
      <c r="G51" s="3"/>
    </row>
    <row r="52" ht="15.75" customHeight="1">
      <c r="A52" s="3">
        <v>2.0</v>
      </c>
      <c r="B52" s="3" t="s">
        <v>427</v>
      </c>
      <c r="C52" s="3" t="s">
        <v>428</v>
      </c>
      <c r="D52" s="3" t="s">
        <v>429</v>
      </c>
      <c r="E52" s="3"/>
      <c r="F52" s="3" t="s">
        <v>194</v>
      </c>
      <c r="G52" s="3"/>
    </row>
    <row r="53" ht="15.75" customHeight="1">
      <c r="A53" s="3">
        <v>3.0</v>
      </c>
      <c r="B53" s="3" t="s">
        <v>427</v>
      </c>
      <c r="C53" s="3" t="s">
        <v>430</v>
      </c>
      <c r="D53" s="3" t="s">
        <v>431</v>
      </c>
      <c r="E53" s="3" t="s">
        <v>431</v>
      </c>
      <c r="F53" s="3" t="s">
        <v>31</v>
      </c>
      <c r="G53" s="3"/>
    </row>
    <row r="54" ht="15.75" customHeight="1">
      <c r="A54" s="3">
        <v>3.0</v>
      </c>
      <c r="B54" s="3" t="s">
        <v>427</v>
      </c>
      <c r="C54" s="3" t="s">
        <v>432</v>
      </c>
      <c r="D54" s="3" t="s">
        <v>433</v>
      </c>
      <c r="E54" s="3" t="s">
        <v>433</v>
      </c>
      <c r="F54" s="3" t="s">
        <v>31</v>
      </c>
      <c r="G54" s="3"/>
    </row>
    <row r="55" ht="15.75" customHeight="1">
      <c r="A55" s="3">
        <v>3.0</v>
      </c>
      <c r="B55" s="3" t="s">
        <v>427</v>
      </c>
      <c r="C55" s="3" t="s">
        <v>434</v>
      </c>
      <c r="D55" s="3" t="s">
        <v>435</v>
      </c>
      <c r="E55" s="3" t="s">
        <v>435</v>
      </c>
      <c r="F55" s="3" t="s">
        <v>31</v>
      </c>
      <c r="G55" s="3"/>
    </row>
    <row r="56" ht="15.75" customHeight="1">
      <c r="A56" s="3">
        <v>3.0</v>
      </c>
      <c r="B56" s="3" t="s">
        <v>427</v>
      </c>
      <c r="C56" s="3" t="s">
        <v>437</v>
      </c>
      <c r="D56" s="3" t="s">
        <v>438</v>
      </c>
      <c r="E56" s="3" t="s">
        <v>438</v>
      </c>
      <c r="F56" s="3" t="s">
        <v>31</v>
      </c>
      <c r="G56" s="3"/>
    </row>
    <row r="57" ht="15.75" customHeight="1">
      <c r="A57" s="3">
        <v>3.0</v>
      </c>
      <c r="B57" s="3" t="s">
        <v>427</v>
      </c>
      <c r="C57" s="3" t="s">
        <v>439</v>
      </c>
      <c r="D57" s="3" t="s">
        <v>83</v>
      </c>
      <c r="E57" s="3" t="s">
        <v>82</v>
      </c>
      <c r="F57" s="3" t="s">
        <v>298</v>
      </c>
      <c r="G57" s="3"/>
    </row>
    <row r="58" ht="15.75" customHeight="1">
      <c r="A58" s="3">
        <v>3.0</v>
      </c>
      <c r="B58" s="3" t="s">
        <v>427</v>
      </c>
      <c r="C58" s="3" t="s">
        <v>440</v>
      </c>
      <c r="D58" s="3" t="s">
        <v>441</v>
      </c>
      <c r="E58" s="3" t="s">
        <v>441</v>
      </c>
      <c r="F58" s="3" t="s">
        <v>31</v>
      </c>
      <c r="G58" s="3"/>
    </row>
    <row r="59" ht="15.75" customHeight="1">
      <c r="A59" s="3">
        <v>3.0</v>
      </c>
      <c r="B59" s="3" t="s">
        <v>427</v>
      </c>
      <c r="C59" s="3" t="s">
        <v>443</v>
      </c>
      <c r="D59" s="3" t="s">
        <v>444</v>
      </c>
      <c r="E59" s="3" t="s">
        <v>444</v>
      </c>
      <c r="F59" s="3" t="s">
        <v>31</v>
      </c>
      <c r="G59" s="3"/>
    </row>
    <row r="60" ht="15.75" customHeight="1">
      <c r="A60" s="3">
        <v>3.0</v>
      </c>
      <c r="B60" s="3" t="s">
        <v>427</v>
      </c>
      <c r="C60" s="3" t="s">
        <v>446</v>
      </c>
      <c r="D60" s="3" t="s">
        <v>447</v>
      </c>
      <c r="E60" s="3" t="s">
        <v>447</v>
      </c>
      <c r="F60" s="3" t="s">
        <v>31</v>
      </c>
      <c r="G60" s="3"/>
    </row>
    <row r="61" ht="15.75" customHeight="1">
      <c r="A61" s="7">
        <v>1.0</v>
      </c>
      <c r="B61" s="7" t="s">
        <v>448</v>
      </c>
      <c r="C61" s="7" t="s">
        <v>449</v>
      </c>
      <c r="D61" s="7" t="s">
        <v>450</v>
      </c>
      <c r="E61" s="7"/>
      <c r="F61" s="7" t="s">
        <v>194</v>
      </c>
      <c r="G61" s="7"/>
    </row>
    <row r="62" ht="15.75" customHeight="1">
      <c r="A62" s="3">
        <v>2.0</v>
      </c>
      <c r="B62" s="3" t="s">
        <v>448</v>
      </c>
      <c r="C62" s="3" t="s">
        <v>451</v>
      </c>
      <c r="D62" s="3" t="s">
        <v>452</v>
      </c>
      <c r="E62" s="3" t="s">
        <v>452</v>
      </c>
      <c r="F62" s="3" t="s">
        <v>31</v>
      </c>
      <c r="G62" s="3" t="s">
        <v>453</v>
      </c>
    </row>
    <row r="63" ht="15.75" customHeight="1">
      <c r="A63" s="3">
        <v>2.0</v>
      </c>
      <c r="B63" s="3" t="s">
        <v>448</v>
      </c>
      <c r="C63" s="3" t="s">
        <v>454</v>
      </c>
      <c r="D63" s="3" t="s">
        <v>455</v>
      </c>
      <c r="E63" s="3" t="s">
        <v>455</v>
      </c>
      <c r="F63" s="3" t="s">
        <v>31</v>
      </c>
      <c r="G63" s="3" t="s">
        <v>456</v>
      </c>
    </row>
    <row r="64" ht="15.75" customHeight="1">
      <c r="A64" s="3">
        <v>2.0</v>
      </c>
      <c r="B64" s="3" t="s">
        <v>448</v>
      </c>
      <c r="C64" s="3" t="s">
        <v>457</v>
      </c>
      <c r="D64" s="3" t="s">
        <v>413</v>
      </c>
      <c r="E64" s="3" t="s">
        <v>413</v>
      </c>
      <c r="F64" s="3" t="s">
        <v>31</v>
      </c>
      <c r="G64" s="3"/>
    </row>
    <row r="65" ht="15.75" customHeight="1">
      <c r="A65" s="7">
        <v>1.0</v>
      </c>
      <c r="B65" s="7" t="s">
        <v>458</v>
      </c>
      <c r="C65" s="7" t="s">
        <v>459</v>
      </c>
      <c r="D65" s="7" t="s">
        <v>460</v>
      </c>
      <c r="E65" s="7"/>
      <c r="F65" s="7" t="s">
        <v>194</v>
      </c>
      <c r="G65" s="7" t="s">
        <v>461</v>
      </c>
    </row>
    <row r="66" ht="15.75" customHeight="1">
      <c r="A66" s="3">
        <v>2.0</v>
      </c>
      <c r="B66" s="3" t="s">
        <v>458</v>
      </c>
      <c r="C66" s="3" t="s">
        <v>462</v>
      </c>
      <c r="D66" s="3" t="s">
        <v>52</v>
      </c>
      <c r="E66" s="3" t="s">
        <v>51</v>
      </c>
      <c r="F66" s="3" t="s">
        <v>463</v>
      </c>
      <c r="G66" s="3"/>
    </row>
    <row r="67" ht="15.75" customHeight="1">
      <c r="A67" s="3">
        <v>2.0</v>
      </c>
      <c r="B67" s="3" t="s">
        <v>458</v>
      </c>
      <c r="C67" s="3" t="s">
        <v>464</v>
      </c>
      <c r="D67" s="3" t="s">
        <v>61</v>
      </c>
      <c r="E67" s="3" t="s">
        <v>59</v>
      </c>
      <c r="F67" s="3" t="s">
        <v>463</v>
      </c>
      <c r="G67" s="3"/>
    </row>
    <row r="68" ht="15.75" customHeight="1">
      <c r="A68" s="3">
        <v>2.0</v>
      </c>
      <c r="B68" s="3" t="s">
        <v>458</v>
      </c>
      <c r="C68" s="3" t="s">
        <v>466</v>
      </c>
      <c r="D68" s="3" t="s">
        <v>35</v>
      </c>
      <c r="E68" s="3" t="s">
        <v>34</v>
      </c>
      <c r="F68" s="3" t="s">
        <v>463</v>
      </c>
      <c r="G68" s="3"/>
    </row>
    <row r="69" ht="15.75" customHeight="1">
      <c r="A69" s="3">
        <v>2.0</v>
      </c>
      <c r="B69" s="3" t="s">
        <v>458</v>
      </c>
      <c r="C69" s="3" t="s">
        <v>468</v>
      </c>
      <c r="D69" s="3" t="s">
        <v>469</v>
      </c>
      <c r="E69" s="3" t="s">
        <v>470</v>
      </c>
      <c r="F69" s="3" t="s">
        <v>463</v>
      </c>
      <c r="G69" s="3" t="s">
        <v>471</v>
      </c>
    </row>
    <row r="70" ht="15.75" customHeight="1">
      <c r="A70" s="3">
        <v>2.0</v>
      </c>
      <c r="B70" s="3" t="s">
        <v>458</v>
      </c>
      <c r="C70" s="3" t="s">
        <v>473</v>
      </c>
      <c r="D70" s="3" t="s">
        <v>474</v>
      </c>
      <c r="E70" s="3"/>
      <c r="F70" s="3" t="s">
        <v>194</v>
      </c>
      <c r="G70" s="3"/>
    </row>
    <row r="71" ht="15.75" customHeight="1">
      <c r="A71" s="3">
        <v>2.0</v>
      </c>
      <c r="B71" s="3" t="s">
        <v>458</v>
      </c>
      <c r="C71" s="3" t="s">
        <v>475</v>
      </c>
      <c r="D71" s="3" t="s">
        <v>476</v>
      </c>
      <c r="E71" s="3"/>
      <c r="F71" s="3" t="s">
        <v>194</v>
      </c>
      <c r="G71" s="3"/>
    </row>
    <row r="72" ht="15.75" customHeight="1">
      <c r="A72" s="3">
        <v>2.0</v>
      </c>
      <c r="B72" s="3" t="s">
        <v>458</v>
      </c>
      <c r="C72" s="3" t="s">
        <v>477</v>
      </c>
      <c r="D72" s="3" t="s">
        <v>47</v>
      </c>
      <c r="E72" s="3" t="s">
        <v>46</v>
      </c>
      <c r="F72" s="3" t="s">
        <v>463</v>
      </c>
      <c r="G72" s="3" t="s">
        <v>479</v>
      </c>
    </row>
    <row r="73" ht="15.75" customHeight="1">
      <c r="A73" s="3">
        <v>2.0</v>
      </c>
      <c r="B73" s="3" t="s">
        <v>458</v>
      </c>
      <c r="C73" s="3" t="s">
        <v>480</v>
      </c>
      <c r="D73" s="3" t="s">
        <v>72</v>
      </c>
      <c r="E73" s="3" t="s">
        <v>70</v>
      </c>
      <c r="F73" s="3" t="s">
        <v>463</v>
      </c>
      <c r="G73" s="3"/>
    </row>
    <row r="74" ht="15.75" customHeight="1">
      <c r="A74" s="3">
        <v>2.0</v>
      </c>
      <c r="B74" s="3" t="s">
        <v>458</v>
      </c>
      <c r="C74" s="3" t="s">
        <v>481</v>
      </c>
      <c r="D74" s="3" t="s">
        <v>483</v>
      </c>
      <c r="E74" s="3"/>
      <c r="F74" s="3" t="s">
        <v>194</v>
      </c>
      <c r="G74" s="3"/>
    </row>
    <row r="75" ht="15.75" customHeight="1">
      <c r="A75" s="7">
        <v>1.0</v>
      </c>
      <c r="B75" s="7" t="s">
        <v>301</v>
      </c>
      <c r="C75" s="7" t="s">
        <v>485</v>
      </c>
      <c r="D75" s="7" t="s">
        <v>486</v>
      </c>
      <c r="E75" s="7"/>
      <c r="F75" s="7" t="s">
        <v>194</v>
      </c>
      <c r="G75" s="7"/>
    </row>
    <row r="76" ht="15.75" customHeight="1">
      <c r="A76" s="3">
        <v>2.0</v>
      </c>
      <c r="B76" s="3" t="s">
        <v>301</v>
      </c>
      <c r="C76" s="3" t="s">
        <v>487</v>
      </c>
      <c r="D76" s="3" t="s">
        <v>300</v>
      </c>
      <c r="E76" s="3" t="s">
        <v>300</v>
      </c>
      <c r="F76" s="3" t="s">
        <v>31</v>
      </c>
      <c r="G76" s="3"/>
    </row>
    <row r="77" ht="15.75" customHeight="1">
      <c r="A77" s="3">
        <v>2.0</v>
      </c>
      <c r="B77" s="3" t="s">
        <v>301</v>
      </c>
      <c r="C77" s="3" t="s">
        <v>488</v>
      </c>
      <c r="D77" s="3" t="s">
        <v>308</v>
      </c>
      <c r="E77" s="3" t="s">
        <v>308</v>
      </c>
      <c r="F77" s="3" t="s">
        <v>31</v>
      </c>
      <c r="G77" s="3"/>
    </row>
    <row r="78" ht="15.75" customHeight="1">
      <c r="A78" s="3">
        <v>2.0</v>
      </c>
      <c r="B78" s="3" t="s">
        <v>301</v>
      </c>
      <c r="C78" s="3" t="s">
        <v>489</v>
      </c>
      <c r="D78" s="3" t="s">
        <v>316</v>
      </c>
      <c r="E78" s="3" t="s">
        <v>316</v>
      </c>
      <c r="F78" s="3" t="s">
        <v>31</v>
      </c>
      <c r="G78" s="3"/>
    </row>
    <row r="79" ht="15.75" customHeight="1">
      <c r="A79" s="3">
        <v>2.0</v>
      </c>
      <c r="B79" s="3" t="s">
        <v>301</v>
      </c>
      <c r="C79" s="3" t="s">
        <v>490</v>
      </c>
      <c r="D79" s="3" t="s">
        <v>337</v>
      </c>
      <c r="E79" s="3" t="s">
        <v>337</v>
      </c>
      <c r="F79" s="3" t="s">
        <v>31</v>
      </c>
      <c r="G79" s="3"/>
    </row>
    <row r="80" ht="15.75" customHeight="1">
      <c r="A80" s="3">
        <v>2.0</v>
      </c>
      <c r="B80" s="3" t="s">
        <v>301</v>
      </c>
      <c r="C80" s="3" t="s">
        <v>491</v>
      </c>
      <c r="D80" s="3" t="s">
        <v>345</v>
      </c>
      <c r="E80" s="3" t="s">
        <v>345</v>
      </c>
      <c r="F80" s="3" t="s">
        <v>31</v>
      </c>
      <c r="G80" s="3"/>
    </row>
    <row r="81" ht="15.75" customHeight="1">
      <c r="A81" s="3">
        <v>2.0</v>
      </c>
      <c r="B81" s="3" t="s">
        <v>301</v>
      </c>
      <c r="C81" s="3" t="s">
        <v>492</v>
      </c>
      <c r="D81" s="3" t="s">
        <v>357</v>
      </c>
      <c r="E81" s="3" t="s">
        <v>357</v>
      </c>
      <c r="F81" s="3" t="s">
        <v>31</v>
      </c>
      <c r="G81" s="3"/>
    </row>
    <row r="82" ht="15.75" customHeight="1">
      <c r="A82" s="3">
        <v>2.0</v>
      </c>
      <c r="B82" s="3" t="s">
        <v>301</v>
      </c>
      <c r="C82" s="3" t="s">
        <v>493</v>
      </c>
      <c r="D82" s="3" t="s">
        <v>361</v>
      </c>
      <c r="E82" s="3" t="s">
        <v>361</v>
      </c>
      <c r="F82" s="3" t="s">
        <v>31</v>
      </c>
      <c r="G82" s="3"/>
    </row>
    <row r="83" ht="15.75" customHeight="1">
      <c r="A83" s="3">
        <v>2.0</v>
      </c>
      <c r="B83" s="3" t="s">
        <v>301</v>
      </c>
      <c r="C83" s="3" t="s">
        <v>495</v>
      </c>
      <c r="D83" s="3" t="s">
        <v>367</v>
      </c>
      <c r="E83" s="3" t="s">
        <v>367</v>
      </c>
      <c r="F83" s="3" t="s">
        <v>31</v>
      </c>
      <c r="G83" s="3"/>
    </row>
    <row r="84" ht="15.75" customHeight="1">
      <c r="A84" s="3">
        <v>2.0</v>
      </c>
      <c r="B84" s="3" t="s">
        <v>301</v>
      </c>
      <c r="C84" s="3" t="s">
        <v>496</v>
      </c>
      <c r="D84" s="3" t="s">
        <v>370</v>
      </c>
      <c r="E84" s="3" t="s">
        <v>370</v>
      </c>
      <c r="F84" s="3" t="s">
        <v>31</v>
      </c>
      <c r="G84" s="3"/>
    </row>
    <row r="85" ht="15.75" customHeight="1">
      <c r="A85" s="3">
        <v>2.0</v>
      </c>
      <c r="B85" s="3" t="s">
        <v>301</v>
      </c>
      <c r="C85" s="3" t="s">
        <v>498</v>
      </c>
      <c r="D85" s="3" t="s">
        <v>375</v>
      </c>
      <c r="E85" s="3" t="s">
        <v>375</v>
      </c>
      <c r="F85" s="3" t="s">
        <v>31</v>
      </c>
      <c r="G85" s="3"/>
    </row>
    <row r="86" ht="15.75" customHeight="1">
      <c r="A86" s="3">
        <v>2.0</v>
      </c>
      <c r="B86" s="3" t="s">
        <v>301</v>
      </c>
      <c r="C86" s="3" t="s">
        <v>500</v>
      </c>
      <c r="D86" s="3" t="s">
        <v>378</v>
      </c>
      <c r="E86" s="3" t="s">
        <v>378</v>
      </c>
      <c r="F86" s="3" t="s">
        <v>31</v>
      </c>
      <c r="G86" s="3" t="s">
        <v>384</v>
      </c>
    </row>
    <row r="87" ht="15.75" customHeight="1">
      <c r="A87" s="3">
        <v>2.0</v>
      </c>
      <c r="B87" s="3" t="s">
        <v>301</v>
      </c>
      <c r="C87" s="3" t="s">
        <v>501</v>
      </c>
      <c r="D87" s="3" t="s">
        <v>385</v>
      </c>
      <c r="E87" s="3" t="s">
        <v>385</v>
      </c>
      <c r="F87" s="3" t="s">
        <v>31</v>
      </c>
      <c r="G87" s="3" t="s">
        <v>384</v>
      </c>
    </row>
    <row r="88" ht="15.75" customHeight="1">
      <c r="A88" s="3">
        <v>2.0</v>
      </c>
      <c r="B88" s="3" t="s">
        <v>301</v>
      </c>
      <c r="C88" s="3" t="s">
        <v>502</v>
      </c>
      <c r="D88" s="3" t="s">
        <v>390</v>
      </c>
      <c r="E88" s="3" t="s">
        <v>390</v>
      </c>
      <c r="F88" s="3" t="s">
        <v>31</v>
      </c>
      <c r="G88" s="3" t="s">
        <v>384</v>
      </c>
    </row>
    <row r="89" ht="15.75" customHeight="1">
      <c r="A89" s="3">
        <v>2.0</v>
      </c>
      <c r="B89" s="3" t="s">
        <v>301</v>
      </c>
      <c r="C89" s="3" t="s">
        <v>503</v>
      </c>
      <c r="D89" s="3" t="s">
        <v>504</v>
      </c>
      <c r="E89" s="3"/>
      <c r="F89" s="3" t="s">
        <v>194</v>
      </c>
      <c r="G89" s="3" t="s">
        <v>505</v>
      </c>
    </row>
    <row r="90" ht="15.75" customHeight="1">
      <c r="A90" s="3">
        <v>2.0</v>
      </c>
      <c r="B90" s="3" t="s">
        <v>301</v>
      </c>
      <c r="C90" s="3" t="s">
        <v>506</v>
      </c>
      <c r="D90" s="3" t="s">
        <v>508</v>
      </c>
      <c r="E90" s="3"/>
      <c r="F90" s="3" t="s">
        <v>194</v>
      </c>
      <c r="G90" s="3" t="s">
        <v>510</v>
      </c>
    </row>
    <row r="91" ht="15.75" customHeight="1">
      <c r="A91" s="7">
        <v>1.0</v>
      </c>
      <c r="B91" s="7" t="s">
        <v>511</v>
      </c>
      <c r="C91" s="7" t="s">
        <v>512</v>
      </c>
      <c r="D91" s="7" t="s">
        <v>513</v>
      </c>
      <c r="E91" s="7"/>
      <c r="F91" s="7" t="s">
        <v>194</v>
      </c>
      <c r="G91" s="7"/>
    </row>
    <row r="92" ht="15.75" customHeight="1">
      <c r="A92" s="3">
        <v>2.0</v>
      </c>
      <c r="B92" s="3" t="s">
        <v>511</v>
      </c>
      <c r="C92" s="3" t="s">
        <v>514</v>
      </c>
      <c r="D92" s="3" t="s">
        <v>515</v>
      </c>
      <c r="E92" s="3" t="s">
        <v>515</v>
      </c>
      <c r="F92" s="3" t="s">
        <v>31</v>
      </c>
      <c r="G92" s="3"/>
    </row>
    <row r="93" ht="15.75" customHeight="1">
      <c r="A93" s="3">
        <v>2.0</v>
      </c>
      <c r="B93" s="3" t="s">
        <v>511</v>
      </c>
      <c r="C93" s="3" t="s">
        <v>517</v>
      </c>
      <c r="D93" s="3" t="s">
        <v>518</v>
      </c>
      <c r="E93" s="3" t="s">
        <v>518</v>
      </c>
      <c r="F93" s="3" t="s">
        <v>31</v>
      </c>
      <c r="G93" s="3"/>
    </row>
    <row r="94" ht="15.75" customHeight="1">
      <c r="A94" s="3">
        <v>2.0</v>
      </c>
      <c r="B94" s="3" t="s">
        <v>511</v>
      </c>
      <c r="C94" s="3" t="s">
        <v>519</v>
      </c>
      <c r="D94" s="3" t="s">
        <v>520</v>
      </c>
      <c r="E94" s="3" t="s">
        <v>520</v>
      </c>
      <c r="F94" s="3" t="s">
        <v>31</v>
      </c>
      <c r="G94" s="3"/>
    </row>
    <row r="95" ht="15.75" customHeight="1">
      <c r="A95" s="3">
        <v>2.0</v>
      </c>
      <c r="B95" s="3" t="s">
        <v>511</v>
      </c>
      <c r="C95" s="3" t="s">
        <v>521</v>
      </c>
      <c r="D95" s="3" t="s">
        <v>522</v>
      </c>
      <c r="E95" s="3" t="s">
        <v>522</v>
      </c>
      <c r="F95" s="3" t="s">
        <v>31</v>
      </c>
      <c r="G95" s="3"/>
    </row>
    <row r="96" ht="15.75" customHeight="1">
      <c r="A96" s="3">
        <v>2.0</v>
      </c>
      <c r="B96" s="3" t="s">
        <v>511</v>
      </c>
      <c r="C96" s="3" t="s">
        <v>523</v>
      </c>
      <c r="D96" s="3" t="s">
        <v>524</v>
      </c>
      <c r="E96" s="3" t="s">
        <v>524</v>
      </c>
      <c r="F96" s="3" t="s">
        <v>31</v>
      </c>
      <c r="G96" s="3"/>
    </row>
    <row r="97" ht="15.75" customHeight="1">
      <c r="A97" s="3">
        <v>2.0</v>
      </c>
      <c r="B97" s="3" t="s">
        <v>511</v>
      </c>
      <c r="C97" s="3" t="s">
        <v>525</v>
      </c>
      <c r="D97" s="3" t="s">
        <v>526</v>
      </c>
      <c r="E97" s="3" t="s">
        <v>526</v>
      </c>
      <c r="F97" s="3" t="s">
        <v>31</v>
      </c>
      <c r="G97" s="3"/>
    </row>
    <row r="98" ht="15.75" customHeight="1">
      <c r="A98" s="3">
        <v>2.0</v>
      </c>
      <c r="B98" s="3" t="s">
        <v>511</v>
      </c>
      <c r="C98" s="3" t="s">
        <v>527</v>
      </c>
      <c r="D98" s="3" t="s">
        <v>528</v>
      </c>
      <c r="E98" s="3" t="s">
        <v>528</v>
      </c>
      <c r="F98" s="3" t="s">
        <v>31</v>
      </c>
      <c r="G98" s="3"/>
    </row>
    <row r="99" ht="15.75" customHeight="1">
      <c r="A99" s="3">
        <v>2.0</v>
      </c>
      <c r="B99" s="3" t="s">
        <v>511</v>
      </c>
      <c r="C99" s="3" t="s">
        <v>529</v>
      </c>
      <c r="D99" s="3" t="s">
        <v>530</v>
      </c>
      <c r="E99" s="3" t="s">
        <v>530</v>
      </c>
      <c r="F99" s="3" t="s">
        <v>31</v>
      </c>
      <c r="G99" s="3"/>
    </row>
    <row r="100" ht="15.75" customHeight="1">
      <c r="A100" s="3">
        <v>2.0</v>
      </c>
      <c r="B100" s="3" t="s">
        <v>511</v>
      </c>
      <c r="C100" s="3" t="s">
        <v>531</v>
      </c>
      <c r="D100" s="3" t="s">
        <v>532</v>
      </c>
      <c r="E100" s="3" t="s">
        <v>532</v>
      </c>
      <c r="F100" s="3" t="s">
        <v>31</v>
      </c>
      <c r="G100" s="3"/>
    </row>
    <row r="101" ht="15.75" customHeight="1">
      <c r="A101" s="3">
        <v>2.0</v>
      </c>
      <c r="B101" s="3" t="s">
        <v>511</v>
      </c>
      <c r="C101" s="3" t="s">
        <v>533</v>
      </c>
      <c r="D101" s="3" t="s">
        <v>534</v>
      </c>
      <c r="E101" s="3" t="s">
        <v>534</v>
      </c>
      <c r="F101" s="3" t="s">
        <v>31</v>
      </c>
      <c r="G101" s="3"/>
    </row>
    <row r="102" ht="15.75" customHeight="1">
      <c r="A102" s="3">
        <v>2.0</v>
      </c>
      <c r="B102" s="3" t="s">
        <v>511</v>
      </c>
      <c r="C102" s="3" t="s">
        <v>535</v>
      </c>
      <c r="D102" s="3" t="s">
        <v>536</v>
      </c>
      <c r="E102" s="3" t="s">
        <v>536</v>
      </c>
      <c r="F102" s="3" t="s">
        <v>31</v>
      </c>
      <c r="G102" s="3"/>
    </row>
    <row r="103" ht="15.75" customHeight="1">
      <c r="A103" s="3">
        <v>2.0</v>
      </c>
      <c r="B103" s="3" t="s">
        <v>511</v>
      </c>
      <c r="C103" s="3" t="s">
        <v>537</v>
      </c>
      <c r="D103" s="3" t="s">
        <v>538</v>
      </c>
      <c r="E103" s="3"/>
      <c r="F103" s="3" t="s">
        <v>194</v>
      </c>
      <c r="G103" s="3" t="s">
        <v>539</v>
      </c>
    </row>
    <row r="104" ht="15.75" customHeight="1">
      <c r="A104" s="3">
        <v>2.0</v>
      </c>
      <c r="B104" s="3" t="s">
        <v>511</v>
      </c>
      <c r="C104" s="3" t="s">
        <v>540</v>
      </c>
      <c r="D104" s="3" t="s">
        <v>541</v>
      </c>
      <c r="E104" s="3"/>
      <c r="F104" s="3" t="s">
        <v>194</v>
      </c>
      <c r="G104" s="3" t="s">
        <v>539</v>
      </c>
    </row>
    <row r="105" ht="15.75" customHeight="1">
      <c r="A105" s="3">
        <v>2.0</v>
      </c>
      <c r="B105" s="3" t="s">
        <v>511</v>
      </c>
      <c r="C105" s="3" t="s">
        <v>544</v>
      </c>
      <c r="D105" s="3" t="s">
        <v>545</v>
      </c>
      <c r="E105" s="3"/>
      <c r="F105" s="3" t="s">
        <v>194</v>
      </c>
      <c r="G105" s="3" t="s">
        <v>539</v>
      </c>
    </row>
    <row r="106" ht="15.75" customHeight="1">
      <c r="A106" s="3">
        <v>2.0</v>
      </c>
      <c r="B106" s="3" t="s">
        <v>511</v>
      </c>
      <c r="C106" s="3" t="s">
        <v>547</v>
      </c>
      <c r="D106" s="3" t="s">
        <v>548</v>
      </c>
      <c r="E106" s="3"/>
      <c r="F106" s="3" t="s">
        <v>194</v>
      </c>
      <c r="G106" s="3" t="s">
        <v>539</v>
      </c>
    </row>
    <row r="107" ht="15.75" customHeight="1">
      <c r="A107" s="3">
        <v>2.0</v>
      </c>
      <c r="B107" s="3" t="s">
        <v>511</v>
      </c>
      <c r="C107" s="3" t="s">
        <v>549</v>
      </c>
      <c r="D107" s="3" t="s">
        <v>550</v>
      </c>
      <c r="E107" s="3"/>
      <c r="F107" s="3" t="s">
        <v>194</v>
      </c>
      <c r="G107" s="3" t="s">
        <v>552</v>
      </c>
    </row>
    <row r="108" ht="15.75" customHeight="1">
      <c r="A108" s="7">
        <v>1.0</v>
      </c>
      <c r="B108" s="7" t="s">
        <v>102</v>
      </c>
      <c r="C108" s="7" t="s">
        <v>554</v>
      </c>
      <c r="D108" s="7" t="s">
        <v>555</v>
      </c>
      <c r="E108" s="7"/>
      <c r="F108" s="7" t="s">
        <v>194</v>
      </c>
      <c r="G108" s="7" t="s">
        <v>556</v>
      </c>
    </row>
    <row r="109" ht="15.75" customHeight="1">
      <c r="A109" s="7">
        <v>1.0</v>
      </c>
      <c r="B109" s="7" t="s">
        <v>102</v>
      </c>
      <c r="C109" s="7" t="s">
        <v>557</v>
      </c>
      <c r="D109" s="7" t="s">
        <v>558</v>
      </c>
      <c r="E109" s="7"/>
      <c r="F109" s="7" t="s">
        <v>194</v>
      </c>
      <c r="G109" s="7" t="s">
        <v>559</v>
      </c>
    </row>
    <row r="110" ht="15.75" customHeight="1">
      <c r="A110" s="7">
        <v>1.0</v>
      </c>
      <c r="B110" s="7" t="s">
        <v>560</v>
      </c>
      <c r="C110" s="7" t="s">
        <v>561</v>
      </c>
      <c r="D110" s="7" t="s">
        <v>562</v>
      </c>
      <c r="E110" s="7"/>
      <c r="F110" s="7" t="s">
        <v>194</v>
      </c>
      <c r="G110" s="7" t="s">
        <v>563</v>
      </c>
    </row>
    <row r="111" ht="15.75" customHeight="1">
      <c r="A111" s="7">
        <v>1.0</v>
      </c>
      <c r="B111" s="7" t="s">
        <v>80</v>
      </c>
      <c r="C111" s="7" t="s">
        <v>564</v>
      </c>
      <c r="D111" s="7" t="s">
        <v>95</v>
      </c>
      <c r="E111" s="7" t="s">
        <v>78</v>
      </c>
      <c r="F111" s="7" t="s">
        <v>298</v>
      </c>
      <c r="G111" s="7" t="s">
        <v>565</v>
      </c>
    </row>
    <row r="112" ht="15.75" customHeight="1">
      <c r="A112" s="3">
        <v>2.0</v>
      </c>
      <c r="B112" s="3" t="s">
        <v>80</v>
      </c>
      <c r="C112" s="3" t="s">
        <v>566</v>
      </c>
      <c r="D112" s="3" t="s">
        <v>137</v>
      </c>
      <c r="E112" s="3" t="s">
        <v>137</v>
      </c>
      <c r="F112" s="3" t="s">
        <v>31</v>
      </c>
      <c r="G112" s="3" t="s">
        <v>568</v>
      </c>
    </row>
    <row r="113" ht="15.75" customHeight="1">
      <c r="A113" s="3">
        <v>3.0</v>
      </c>
      <c r="B113" s="3" t="s">
        <v>80</v>
      </c>
      <c r="C113" s="3" t="s">
        <v>569</v>
      </c>
      <c r="D113" s="3" t="s">
        <v>570</v>
      </c>
      <c r="E113" s="3"/>
      <c r="F113" s="3" t="s">
        <v>194</v>
      </c>
      <c r="G113" s="3"/>
    </row>
    <row r="114" ht="15.75" customHeight="1">
      <c r="A114" s="3">
        <v>3.0</v>
      </c>
      <c r="B114" s="3" t="s">
        <v>80</v>
      </c>
      <c r="C114" s="3" t="s">
        <v>571</v>
      </c>
      <c r="D114" s="3" t="s">
        <v>573</v>
      </c>
      <c r="E114" s="3"/>
      <c r="F114" s="3" t="s">
        <v>194</v>
      </c>
      <c r="G114" s="3"/>
    </row>
    <row r="115" ht="15.75" customHeight="1">
      <c r="A115" s="3">
        <v>3.0</v>
      </c>
      <c r="B115" s="3" t="s">
        <v>80</v>
      </c>
      <c r="C115" s="3" t="s">
        <v>574</v>
      </c>
      <c r="D115" s="3" t="s">
        <v>575</v>
      </c>
      <c r="E115" s="3"/>
      <c r="F115" s="3" t="s">
        <v>194</v>
      </c>
      <c r="G115" s="3"/>
    </row>
    <row r="116" ht="15.75" customHeight="1">
      <c r="A116" s="3">
        <v>3.0</v>
      </c>
      <c r="B116" s="3" t="s">
        <v>80</v>
      </c>
      <c r="C116" s="3" t="s">
        <v>577</v>
      </c>
      <c r="D116" s="3" t="s">
        <v>578</v>
      </c>
      <c r="E116" s="3"/>
      <c r="F116" s="3" t="s">
        <v>194</v>
      </c>
      <c r="G116" s="3"/>
    </row>
    <row r="117" ht="15.75" customHeight="1">
      <c r="A117" s="3">
        <v>3.0</v>
      </c>
      <c r="B117" s="3" t="s">
        <v>80</v>
      </c>
      <c r="C117" s="3" t="s">
        <v>580</v>
      </c>
      <c r="D117" s="3" t="s">
        <v>581</v>
      </c>
      <c r="E117" s="3"/>
      <c r="F117" s="3" t="s">
        <v>194</v>
      </c>
      <c r="G117" s="3"/>
    </row>
    <row r="118" ht="15.75" customHeight="1">
      <c r="A118" s="3">
        <v>3.0</v>
      </c>
      <c r="B118" s="3" t="s">
        <v>80</v>
      </c>
      <c r="C118" s="3" t="s">
        <v>582</v>
      </c>
      <c r="D118" s="3" t="s">
        <v>583</v>
      </c>
      <c r="E118" s="3"/>
      <c r="F118" s="3" t="s">
        <v>194</v>
      </c>
      <c r="G118" s="3"/>
    </row>
    <row r="119" ht="15.75" customHeight="1">
      <c r="A119" s="3">
        <v>2.0</v>
      </c>
      <c r="B119" s="3" t="s">
        <v>80</v>
      </c>
      <c r="C119" s="3" t="s">
        <v>584</v>
      </c>
      <c r="D119" s="3" t="s">
        <v>142</v>
      </c>
      <c r="E119" s="3" t="s">
        <v>142</v>
      </c>
      <c r="F119" s="3" t="s">
        <v>31</v>
      </c>
      <c r="G119" s="3" t="s">
        <v>585</v>
      </c>
    </row>
    <row r="120" ht="15.75" customHeight="1">
      <c r="A120" s="3">
        <v>2.0</v>
      </c>
      <c r="B120" s="3" t="s">
        <v>80</v>
      </c>
      <c r="C120" s="3" t="s">
        <v>586</v>
      </c>
      <c r="D120" s="3" t="s">
        <v>587</v>
      </c>
      <c r="E120" s="3"/>
      <c r="F120" s="3" t="s">
        <v>194</v>
      </c>
      <c r="G120" s="3" t="s">
        <v>588</v>
      </c>
    </row>
    <row r="121" ht="15.75" customHeight="1">
      <c r="A121" s="3">
        <v>2.0</v>
      </c>
      <c r="B121" s="3" t="s">
        <v>80</v>
      </c>
      <c r="C121" s="3" t="s">
        <v>590</v>
      </c>
      <c r="D121" s="3" t="s">
        <v>591</v>
      </c>
      <c r="E121" s="3"/>
      <c r="F121" s="3" t="s">
        <v>194</v>
      </c>
      <c r="G121" s="3" t="s">
        <v>593</v>
      </c>
    </row>
    <row r="122" ht="15.75" customHeight="1">
      <c r="A122" s="3">
        <v>2.0</v>
      </c>
      <c r="B122" s="3" t="s">
        <v>80</v>
      </c>
      <c r="C122" s="3" t="s">
        <v>594</v>
      </c>
      <c r="D122" s="3" t="s">
        <v>595</v>
      </c>
      <c r="E122" s="3"/>
      <c r="F122" s="3" t="s">
        <v>194</v>
      </c>
      <c r="G122" s="3" t="s">
        <v>598</v>
      </c>
    </row>
    <row r="123" ht="15.75" customHeight="1">
      <c r="A123" s="3">
        <v>2.0</v>
      </c>
      <c r="B123" s="3" t="s">
        <v>80</v>
      </c>
      <c r="C123" s="3" t="s">
        <v>599</v>
      </c>
      <c r="D123" s="3" t="s">
        <v>600</v>
      </c>
      <c r="E123" s="3"/>
      <c r="F123" s="3" t="s">
        <v>194</v>
      </c>
      <c r="G123" s="3" t="s">
        <v>601</v>
      </c>
    </row>
    <row r="124" ht="15.75" customHeight="1">
      <c r="A124" s="3">
        <v>2.0</v>
      </c>
      <c r="B124" s="3" t="s">
        <v>80</v>
      </c>
      <c r="C124" s="3" t="s">
        <v>604</v>
      </c>
      <c r="D124" s="3" t="s">
        <v>606</v>
      </c>
      <c r="E124" s="3"/>
      <c r="F124" s="3" t="s">
        <v>194</v>
      </c>
      <c r="G124" s="3" t="s">
        <v>607</v>
      </c>
    </row>
    <row r="125" ht="15.75" customHeight="1">
      <c r="A125" s="7">
        <v>1.0</v>
      </c>
      <c r="B125" s="7" t="s">
        <v>54</v>
      </c>
      <c r="C125" s="7" t="s">
        <v>609</v>
      </c>
      <c r="D125" s="7" t="s">
        <v>53</v>
      </c>
      <c r="E125" s="7" t="s">
        <v>53</v>
      </c>
      <c r="F125" s="7" t="s">
        <v>31</v>
      </c>
      <c r="G125" s="7"/>
    </row>
    <row r="126" ht="15.75" customHeight="1">
      <c r="A126" s="3">
        <v>2.0</v>
      </c>
      <c r="B126" s="3" t="s">
        <v>54</v>
      </c>
      <c r="C126" s="3" t="s">
        <v>612</v>
      </c>
      <c r="D126" s="3" t="s">
        <v>66</v>
      </c>
      <c r="E126" s="3" t="s">
        <v>66</v>
      </c>
      <c r="F126" s="3" t="s">
        <v>31</v>
      </c>
      <c r="G126" s="3" t="s">
        <v>613</v>
      </c>
    </row>
    <row r="127" ht="15.75" customHeight="1">
      <c r="A127" s="3">
        <v>2.0</v>
      </c>
      <c r="B127" s="3" t="s">
        <v>54</v>
      </c>
      <c r="C127" s="3" t="s">
        <v>614</v>
      </c>
      <c r="D127" s="3" t="s">
        <v>615</v>
      </c>
      <c r="E127" s="3"/>
      <c r="F127" s="3" t="s">
        <v>194</v>
      </c>
      <c r="G127" s="3" t="s">
        <v>616</v>
      </c>
    </row>
    <row r="128" ht="15.75" customHeight="1">
      <c r="A128" s="3">
        <v>2.0</v>
      </c>
      <c r="B128" s="3" t="s">
        <v>54</v>
      </c>
      <c r="C128" s="3" t="s">
        <v>617</v>
      </c>
      <c r="D128" s="3" t="s">
        <v>618</v>
      </c>
      <c r="E128" s="3"/>
      <c r="F128" s="3" t="s">
        <v>194</v>
      </c>
      <c r="G128" s="3" t="s">
        <v>607</v>
      </c>
    </row>
    <row r="129" ht="15.75" customHeight="1">
      <c r="A129" s="3">
        <v>2.0</v>
      </c>
      <c r="B129" s="3" t="s">
        <v>54</v>
      </c>
      <c r="C129" s="3" t="s">
        <v>619</v>
      </c>
      <c r="D129" s="3" t="s">
        <v>122</v>
      </c>
      <c r="E129" s="3" t="s">
        <v>122</v>
      </c>
      <c r="F129" s="3" t="s">
        <v>31</v>
      </c>
      <c r="G129" s="3"/>
    </row>
    <row r="130" ht="15.75" customHeight="1">
      <c r="A130" s="3">
        <v>2.0</v>
      </c>
      <c r="B130" s="3" t="s">
        <v>54</v>
      </c>
      <c r="C130" s="3" t="s">
        <v>621</v>
      </c>
      <c r="D130" s="3" t="s">
        <v>100</v>
      </c>
      <c r="E130" s="3" t="s">
        <v>100</v>
      </c>
      <c r="F130" s="3" t="s">
        <v>31</v>
      </c>
      <c r="G130" s="3"/>
    </row>
    <row r="131" ht="15.75" customHeight="1">
      <c r="A131" s="7">
        <v>1.0</v>
      </c>
      <c r="B131" s="7" t="s">
        <v>113</v>
      </c>
      <c r="C131" s="7" t="s">
        <v>113</v>
      </c>
      <c r="D131" s="7" t="s">
        <v>110</v>
      </c>
      <c r="E131" s="7" t="s">
        <v>110</v>
      </c>
      <c r="F131" s="7" t="s">
        <v>31</v>
      </c>
      <c r="G131" s="7"/>
    </row>
    <row r="132" ht="15.75" customHeight="1">
      <c r="A132" s="3">
        <v>2.0</v>
      </c>
      <c r="B132" s="3" t="s">
        <v>113</v>
      </c>
      <c r="C132" s="3" t="s">
        <v>622</v>
      </c>
      <c r="D132" s="3" t="s">
        <v>623</v>
      </c>
      <c r="E132" s="3"/>
      <c r="F132" s="3" t="s">
        <v>194</v>
      </c>
      <c r="G132" s="3"/>
    </row>
    <row r="133" ht="15.75" customHeight="1">
      <c r="A133" s="3">
        <v>2.0</v>
      </c>
      <c r="B133" s="3" t="s">
        <v>113</v>
      </c>
      <c r="C133" s="3" t="s">
        <v>624</v>
      </c>
      <c r="D133" s="3" t="s">
        <v>626</v>
      </c>
      <c r="E133" s="3"/>
      <c r="F133" s="3" t="s">
        <v>194</v>
      </c>
      <c r="G133" s="3"/>
    </row>
    <row r="134" ht="15.75" customHeight="1">
      <c r="A134" s="3">
        <v>2.0</v>
      </c>
      <c r="B134" s="3" t="s">
        <v>113</v>
      </c>
      <c r="C134" s="3" t="s">
        <v>627</v>
      </c>
      <c r="D134" s="3" t="s">
        <v>628</v>
      </c>
      <c r="E134" s="3"/>
      <c r="F134" s="3" t="s">
        <v>194</v>
      </c>
      <c r="G134" s="3"/>
    </row>
    <row r="135" ht="15.75" customHeight="1">
      <c r="A135" s="7">
        <v>1.0</v>
      </c>
      <c r="B135" s="7" t="s">
        <v>129</v>
      </c>
      <c r="C135" s="7" t="s">
        <v>629</v>
      </c>
      <c r="D135" s="7" t="s">
        <v>128</v>
      </c>
      <c r="E135" s="7" t="s">
        <v>128</v>
      </c>
      <c r="F135" s="7" t="s">
        <v>31</v>
      </c>
      <c r="G135" s="7"/>
    </row>
    <row r="136" ht="15.75" customHeight="1">
      <c r="A136" s="7">
        <v>1.0</v>
      </c>
      <c r="B136" s="7" t="s">
        <v>129</v>
      </c>
      <c r="C136" s="7" t="s">
        <v>630</v>
      </c>
      <c r="D136" s="7" t="s">
        <v>133</v>
      </c>
      <c r="E136" s="7" t="s">
        <v>133</v>
      </c>
      <c r="F136" s="7" t="s">
        <v>31</v>
      </c>
      <c r="G136" s="7"/>
    </row>
    <row r="137" ht="15.75" customHeight="1">
      <c r="A137" s="7">
        <v>1.0</v>
      </c>
      <c r="B137" s="7" t="s">
        <v>129</v>
      </c>
      <c r="C137" s="7" t="s">
        <v>631</v>
      </c>
      <c r="D137" s="7" t="s">
        <v>632</v>
      </c>
      <c r="E137" s="7"/>
      <c r="F137" s="7" t="s">
        <v>194</v>
      </c>
      <c r="G137" s="7"/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37"/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6.0"/>
    <col customWidth="1" min="3" max="3" width="60.0"/>
    <col customWidth="1" min="4" max="4" width="55.0"/>
    <col customWidth="1" min="5" max="5" width="16.0"/>
    <col customWidth="1" min="6" max="6" width="14.0"/>
    <col customWidth="1" min="7" max="26" width="8.71"/>
  </cols>
  <sheetData>
    <row r="1" ht="30.0" customHeight="1">
      <c r="A1" s="1" t="s">
        <v>6</v>
      </c>
      <c r="B1" s="1" t="s">
        <v>163</v>
      </c>
      <c r="C1" s="1" t="s">
        <v>165</v>
      </c>
      <c r="D1" s="1" t="s">
        <v>543</v>
      </c>
      <c r="E1" s="10" t="s">
        <v>546</v>
      </c>
      <c r="F1" s="10" t="s">
        <v>167</v>
      </c>
    </row>
    <row r="2">
      <c r="A2" s="3" t="s">
        <v>182</v>
      </c>
      <c r="B2" s="3" t="s">
        <v>191</v>
      </c>
      <c r="C2" s="3" t="s">
        <v>193</v>
      </c>
      <c r="D2" s="3" t="s">
        <v>195</v>
      </c>
      <c r="F2" s="6" t="s">
        <v>576</v>
      </c>
    </row>
    <row r="3">
      <c r="A3" s="3" t="s">
        <v>182</v>
      </c>
      <c r="B3" s="3" t="s">
        <v>220</v>
      </c>
      <c r="C3" s="3" t="s">
        <v>68</v>
      </c>
      <c r="D3" s="3" t="s">
        <v>224</v>
      </c>
      <c r="F3" s="6" t="s">
        <v>576</v>
      </c>
    </row>
    <row r="4">
      <c r="A4" s="3" t="s">
        <v>182</v>
      </c>
      <c r="B4" s="3" t="s">
        <v>253</v>
      </c>
      <c r="C4" s="3" t="s">
        <v>254</v>
      </c>
      <c r="D4" s="3"/>
      <c r="F4" s="6" t="s">
        <v>576</v>
      </c>
    </row>
    <row r="5">
      <c r="A5" s="3" t="s">
        <v>182</v>
      </c>
      <c r="B5" s="3" t="s">
        <v>265</v>
      </c>
      <c r="C5" s="3" t="s">
        <v>267</v>
      </c>
      <c r="D5" s="3" t="s">
        <v>270</v>
      </c>
      <c r="F5" s="6" t="s">
        <v>576</v>
      </c>
    </row>
    <row r="6">
      <c r="A6" s="3" t="s">
        <v>273</v>
      </c>
      <c r="B6" s="3" t="s">
        <v>274</v>
      </c>
      <c r="C6" s="3" t="s">
        <v>275</v>
      </c>
      <c r="D6" s="3" t="s">
        <v>277</v>
      </c>
      <c r="F6" s="6" t="s">
        <v>576</v>
      </c>
    </row>
    <row r="7">
      <c r="A7" s="3" t="s">
        <v>279</v>
      </c>
      <c r="B7" s="3" t="s">
        <v>280</v>
      </c>
      <c r="C7" s="3" t="s">
        <v>92</v>
      </c>
      <c r="D7" s="3" t="s">
        <v>282</v>
      </c>
      <c r="F7" s="6" t="s">
        <v>576</v>
      </c>
    </row>
    <row r="8">
      <c r="A8" s="3" t="s">
        <v>323</v>
      </c>
      <c r="B8" s="3" t="s">
        <v>324</v>
      </c>
      <c r="C8" s="3" t="s">
        <v>325</v>
      </c>
      <c r="D8" s="3"/>
      <c r="F8" s="6" t="s">
        <v>576</v>
      </c>
    </row>
    <row r="9">
      <c r="A9" s="3" t="s">
        <v>323</v>
      </c>
      <c r="B9" s="3" t="s">
        <v>334</v>
      </c>
      <c r="C9" s="3" t="s">
        <v>336</v>
      </c>
      <c r="D9" s="3" t="s">
        <v>338</v>
      </c>
      <c r="F9" s="6" t="s">
        <v>576</v>
      </c>
    </row>
    <row r="10">
      <c r="A10" s="3" t="s">
        <v>323</v>
      </c>
      <c r="B10" s="3" t="s">
        <v>351</v>
      </c>
      <c r="C10" s="3" t="s">
        <v>353</v>
      </c>
      <c r="D10" s="3" t="s">
        <v>354</v>
      </c>
      <c r="F10" s="6" t="s">
        <v>576</v>
      </c>
    </row>
    <row r="11">
      <c r="A11" s="3" t="s">
        <v>364</v>
      </c>
      <c r="B11" s="3" t="s">
        <v>365</v>
      </c>
      <c r="C11" s="3" t="s">
        <v>366</v>
      </c>
      <c r="D11" s="3"/>
      <c r="F11" s="6" t="s">
        <v>576</v>
      </c>
    </row>
    <row r="12">
      <c r="A12" s="3" t="s">
        <v>386</v>
      </c>
      <c r="B12" s="3" t="s">
        <v>387</v>
      </c>
      <c r="C12" s="3" t="s">
        <v>388</v>
      </c>
      <c r="D12" s="3"/>
      <c r="F12" s="6" t="s">
        <v>576</v>
      </c>
    </row>
    <row r="13">
      <c r="A13" s="3" t="s">
        <v>400</v>
      </c>
      <c r="B13" s="3" t="s">
        <v>401</v>
      </c>
      <c r="C13" s="3" t="s">
        <v>402</v>
      </c>
      <c r="D13" s="3"/>
      <c r="F13" s="6" t="s">
        <v>576</v>
      </c>
    </row>
    <row r="14">
      <c r="A14" s="3" t="s">
        <v>415</v>
      </c>
      <c r="B14" s="3" t="s">
        <v>418</v>
      </c>
      <c r="C14" s="3" t="s">
        <v>419</v>
      </c>
      <c r="D14" s="3"/>
      <c r="F14" s="6" t="s">
        <v>576</v>
      </c>
    </row>
    <row r="15">
      <c r="A15" s="3" t="s">
        <v>427</v>
      </c>
      <c r="B15" s="3" t="s">
        <v>428</v>
      </c>
      <c r="C15" s="3" t="s">
        <v>429</v>
      </c>
      <c r="D15" s="3"/>
      <c r="F15" s="6" t="s">
        <v>576</v>
      </c>
    </row>
    <row r="16">
      <c r="A16" s="3" t="s">
        <v>448</v>
      </c>
      <c r="B16" s="3" t="s">
        <v>449</v>
      </c>
      <c r="C16" s="3" t="s">
        <v>450</v>
      </c>
      <c r="D16" s="3"/>
      <c r="F16" s="6" t="s">
        <v>576</v>
      </c>
    </row>
    <row r="17">
      <c r="A17" s="3" t="s">
        <v>458</v>
      </c>
      <c r="B17" s="3" t="s">
        <v>459</v>
      </c>
      <c r="C17" s="3" t="s">
        <v>460</v>
      </c>
      <c r="D17" s="3" t="s">
        <v>461</v>
      </c>
      <c r="F17" s="6" t="s">
        <v>576</v>
      </c>
    </row>
    <row r="18">
      <c r="A18" s="3" t="s">
        <v>458</v>
      </c>
      <c r="B18" s="3" t="s">
        <v>473</v>
      </c>
      <c r="C18" s="3" t="s">
        <v>474</v>
      </c>
      <c r="D18" s="3"/>
      <c r="F18" s="6" t="s">
        <v>576</v>
      </c>
    </row>
    <row r="19">
      <c r="A19" s="3" t="s">
        <v>458</v>
      </c>
      <c r="B19" s="3" t="s">
        <v>475</v>
      </c>
      <c r="C19" s="3" t="s">
        <v>476</v>
      </c>
      <c r="D19" s="3"/>
      <c r="F19" s="6" t="s">
        <v>576</v>
      </c>
    </row>
    <row r="20">
      <c r="A20" s="3" t="s">
        <v>458</v>
      </c>
      <c r="B20" s="3" t="s">
        <v>481</v>
      </c>
      <c r="C20" s="3" t="s">
        <v>483</v>
      </c>
      <c r="D20" s="3"/>
      <c r="F20" s="6" t="s">
        <v>576</v>
      </c>
    </row>
    <row r="21" ht="15.75" customHeight="1">
      <c r="A21" s="3" t="s">
        <v>301</v>
      </c>
      <c r="B21" s="3" t="s">
        <v>485</v>
      </c>
      <c r="C21" s="3" t="s">
        <v>486</v>
      </c>
      <c r="D21" s="3"/>
      <c r="F21" s="6" t="s">
        <v>576</v>
      </c>
    </row>
    <row r="22" ht="15.75" customHeight="1">
      <c r="A22" s="3" t="s">
        <v>301</v>
      </c>
      <c r="B22" s="3" t="s">
        <v>503</v>
      </c>
      <c r="C22" s="3" t="s">
        <v>504</v>
      </c>
      <c r="D22" s="3" t="s">
        <v>505</v>
      </c>
      <c r="F22" s="6" t="s">
        <v>576</v>
      </c>
    </row>
    <row r="23" ht="15.75" customHeight="1">
      <c r="A23" s="3" t="s">
        <v>301</v>
      </c>
      <c r="B23" s="3" t="s">
        <v>506</v>
      </c>
      <c r="C23" s="3" t="s">
        <v>508</v>
      </c>
      <c r="D23" s="3" t="s">
        <v>510</v>
      </c>
      <c r="F23" s="6" t="s">
        <v>576</v>
      </c>
    </row>
    <row r="24" ht="15.75" customHeight="1">
      <c r="A24" s="3" t="s">
        <v>511</v>
      </c>
      <c r="B24" s="3" t="s">
        <v>512</v>
      </c>
      <c r="C24" s="3" t="s">
        <v>513</v>
      </c>
      <c r="D24" s="3"/>
      <c r="F24" s="6" t="s">
        <v>576</v>
      </c>
    </row>
    <row r="25" ht="15.75" customHeight="1">
      <c r="A25" s="3" t="s">
        <v>511</v>
      </c>
      <c r="B25" s="3" t="s">
        <v>537</v>
      </c>
      <c r="C25" s="3" t="s">
        <v>538</v>
      </c>
      <c r="D25" s="3" t="s">
        <v>539</v>
      </c>
      <c r="F25" s="6" t="s">
        <v>576</v>
      </c>
    </row>
    <row r="26" ht="15.75" customHeight="1">
      <c r="A26" s="3" t="s">
        <v>511</v>
      </c>
      <c r="B26" s="3" t="s">
        <v>540</v>
      </c>
      <c r="C26" s="3" t="s">
        <v>541</v>
      </c>
      <c r="D26" s="3" t="s">
        <v>539</v>
      </c>
      <c r="F26" s="6" t="s">
        <v>576</v>
      </c>
    </row>
    <row r="27" ht="15.75" customHeight="1">
      <c r="A27" s="3" t="s">
        <v>511</v>
      </c>
      <c r="B27" s="3" t="s">
        <v>544</v>
      </c>
      <c r="C27" s="3" t="s">
        <v>545</v>
      </c>
      <c r="D27" s="3" t="s">
        <v>539</v>
      </c>
      <c r="F27" s="6" t="s">
        <v>576</v>
      </c>
    </row>
    <row r="28" ht="15.75" customHeight="1">
      <c r="A28" s="3" t="s">
        <v>511</v>
      </c>
      <c r="B28" s="3" t="s">
        <v>547</v>
      </c>
      <c r="C28" s="3" t="s">
        <v>548</v>
      </c>
      <c r="D28" s="3" t="s">
        <v>539</v>
      </c>
      <c r="F28" s="6" t="s">
        <v>576</v>
      </c>
    </row>
    <row r="29" ht="15.75" customHeight="1">
      <c r="A29" s="3" t="s">
        <v>511</v>
      </c>
      <c r="B29" s="3" t="s">
        <v>549</v>
      </c>
      <c r="C29" s="3" t="s">
        <v>550</v>
      </c>
      <c r="D29" s="3" t="s">
        <v>552</v>
      </c>
      <c r="F29" s="6" t="s">
        <v>576</v>
      </c>
    </row>
    <row r="30" ht="15.75" customHeight="1">
      <c r="A30" s="3" t="s">
        <v>102</v>
      </c>
      <c r="B30" s="3" t="s">
        <v>554</v>
      </c>
      <c r="C30" s="3" t="s">
        <v>555</v>
      </c>
      <c r="D30" s="3" t="s">
        <v>556</v>
      </c>
      <c r="F30" s="6" t="s">
        <v>576</v>
      </c>
    </row>
    <row r="31" ht="15.75" customHeight="1">
      <c r="A31" s="3" t="s">
        <v>102</v>
      </c>
      <c r="B31" s="3" t="s">
        <v>557</v>
      </c>
      <c r="C31" s="3" t="s">
        <v>558</v>
      </c>
      <c r="D31" s="3" t="s">
        <v>559</v>
      </c>
      <c r="F31" s="6" t="s">
        <v>576</v>
      </c>
    </row>
    <row r="32" ht="15.75" customHeight="1">
      <c r="A32" s="3" t="s">
        <v>560</v>
      </c>
      <c r="B32" s="3" t="s">
        <v>561</v>
      </c>
      <c r="C32" s="3" t="s">
        <v>562</v>
      </c>
      <c r="D32" s="3" t="s">
        <v>563</v>
      </c>
      <c r="F32" s="6" t="s">
        <v>576</v>
      </c>
    </row>
    <row r="33" ht="15.75" customHeight="1">
      <c r="A33" s="3" t="s">
        <v>80</v>
      </c>
      <c r="B33" s="3" t="s">
        <v>569</v>
      </c>
      <c r="C33" s="3" t="s">
        <v>570</v>
      </c>
      <c r="D33" s="3"/>
      <c r="F33" s="6" t="s">
        <v>576</v>
      </c>
    </row>
    <row r="34" ht="15.75" customHeight="1">
      <c r="A34" s="3" t="s">
        <v>80</v>
      </c>
      <c r="B34" s="3" t="s">
        <v>571</v>
      </c>
      <c r="C34" s="3" t="s">
        <v>573</v>
      </c>
      <c r="D34" s="3"/>
      <c r="F34" s="6" t="s">
        <v>576</v>
      </c>
    </row>
    <row r="35" ht="15.75" customHeight="1">
      <c r="A35" s="3" t="s">
        <v>80</v>
      </c>
      <c r="B35" s="3" t="s">
        <v>574</v>
      </c>
      <c r="C35" s="3" t="s">
        <v>575</v>
      </c>
      <c r="D35" s="3"/>
      <c r="F35" s="6" t="s">
        <v>576</v>
      </c>
    </row>
    <row r="36" ht="15.75" customHeight="1">
      <c r="A36" s="3" t="s">
        <v>80</v>
      </c>
      <c r="B36" s="3" t="s">
        <v>577</v>
      </c>
      <c r="C36" s="3" t="s">
        <v>578</v>
      </c>
      <c r="D36" s="3"/>
      <c r="F36" s="6" t="s">
        <v>576</v>
      </c>
    </row>
    <row r="37" ht="15.75" customHeight="1">
      <c r="A37" s="3" t="s">
        <v>80</v>
      </c>
      <c r="B37" s="3" t="s">
        <v>580</v>
      </c>
      <c r="C37" s="3" t="s">
        <v>581</v>
      </c>
      <c r="D37" s="3"/>
      <c r="F37" s="6" t="s">
        <v>576</v>
      </c>
    </row>
    <row r="38" ht="15.75" customHeight="1">
      <c r="A38" s="3" t="s">
        <v>80</v>
      </c>
      <c r="B38" s="3" t="s">
        <v>582</v>
      </c>
      <c r="C38" s="3" t="s">
        <v>583</v>
      </c>
      <c r="D38" s="3"/>
      <c r="F38" s="6" t="s">
        <v>576</v>
      </c>
    </row>
    <row r="39" ht="15.75" customHeight="1">
      <c r="A39" s="3" t="s">
        <v>80</v>
      </c>
      <c r="B39" s="3" t="s">
        <v>586</v>
      </c>
      <c r="C39" s="3" t="s">
        <v>587</v>
      </c>
      <c r="D39" s="3" t="s">
        <v>588</v>
      </c>
      <c r="F39" s="6" t="s">
        <v>576</v>
      </c>
    </row>
    <row r="40" ht="15.75" customHeight="1">
      <c r="A40" s="3" t="s">
        <v>80</v>
      </c>
      <c r="B40" s="3" t="s">
        <v>590</v>
      </c>
      <c r="C40" s="3" t="s">
        <v>591</v>
      </c>
      <c r="D40" s="3" t="s">
        <v>593</v>
      </c>
      <c r="F40" s="6" t="s">
        <v>576</v>
      </c>
    </row>
    <row r="41" ht="15.75" customHeight="1">
      <c r="A41" s="3" t="s">
        <v>80</v>
      </c>
      <c r="B41" s="3" t="s">
        <v>594</v>
      </c>
      <c r="C41" s="3" t="s">
        <v>595</v>
      </c>
      <c r="D41" s="3" t="s">
        <v>598</v>
      </c>
      <c r="F41" s="6" t="s">
        <v>576</v>
      </c>
    </row>
    <row r="42" ht="15.75" customHeight="1">
      <c r="A42" s="3" t="s">
        <v>80</v>
      </c>
      <c r="B42" s="3" t="s">
        <v>599</v>
      </c>
      <c r="C42" s="3" t="s">
        <v>600</v>
      </c>
      <c r="D42" s="3" t="s">
        <v>601</v>
      </c>
      <c r="F42" s="6" t="s">
        <v>576</v>
      </c>
    </row>
    <row r="43" ht="15.75" customHeight="1">
      <c r="A43" s="3" t="s">
        <v>80</v>
      </c>
      <c r="B43" s="3" t="s">
        <v>604</v>
      </c>
      <c r="C43" s="3" t="s">
        <v>606</v>
      </c>
      <c r="D43" s="3" t="s">
        <v>607</v>
      </c>
      <c r="F43" s="6" t="s">
        <v>576</v>
      </c>
    </row>
    <row r="44" ht="15.75" customHeight="1">
      <c r="A44" s="3" t="s">
        <v>54</v>
      </c>
      <c r="B44" s="3" t="s">
        <v>614</v>
      </c>
      <c r="C44" s="3" t="s">
        <v>615</v>
      </c>
      <c r="D44" s="3" t="s">
        <v>616</v>
      </c>
      <c r="F44" s="6" t="s">
        <v>576</v>
      </c>
    </row>
    <row r="45" ht="15.75" customHeight="1">
      <c r="A45" s="3" t="s">
        <v>54</v>
      </c>
      <c r="B45" s="3" t="s">
        <v>617</v>
      </c>
      <c r="C45" s="3" t="s">
        <v>618</v>
      </c>
      <c r="D45" s="3" t="s">
        <v>607</v>
      </c>
      <c r="F45" s="6" t="s">
        <v>576</v>
      </c>
    </row>
    <row r="46" ht="15.75" customHeight="1">
      <c r="A46" s="3" t="s">
        <v>113</v>
      </c>
      <c r="B46" s="3" t="s">
        <v>622</v>
      </c>
      <c r="C46" s="3" t="s">
        <v>623</v>
      </c>
      <c r="D46" s="3"/>
      <c r="F46" s="6" t="s">
        <v>576</v>
      </c>
    </row>
    <row r="47" ht="15.75" customHeight="1">
      <c r="A47" s="3" t="s">
        <v>113</v>
      </c>
      <c r="B47" s="3" t="s">
        <v>624</v>
      </c>
      <c r="C47" s="3" t="s">
        <v>626</v>
      </c>
      <c r="D47" s="3"/>
      <c r="F47" s="6" t="s">
        <v>576</v>
      </c>
    </row>
    <row r="48" ht="15.75" customHeight="1">
      <c r="A48" s="3" t="s">
        <v>113</v>
      </c>
      <c r="B48" s="3" t="s">
        <v>627</v>
      </c>
      <c r="C48" s="3" t="s">
        <v>628</v>
      </c>
      <c r="D48" s="3"/>
      <c r="F48" s="6" t="s">
        <v>576</v>
      </c>
    </row>
    <row r="49" ht="15.75" customHeight="1">
      <c r="A49" s="3" t="s">
        <v>129</v>
      </c>
      <c r="B49" s="3" t="s">
        <v>631</v>
      </c>
      <c r="C49" s="3" t="s">
        <v>632</v>
      </c>
      <c r="D49" s="3"/>
      <c r="F49" s="6" t="s">
        <v>576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49"/>
  <dataValidations>
    <dataValidation type="list" allowBlank="1" sqref="F2:F49">
      <formula1>"Not started,In progress,Done"</formula1>
    </dataValidation>
  </dataValidations>
  <printOptions/>
  <pageMargins bottom="1.0" footer="0.0" header="0.0" left="0.75" right="0.75" top="1.0"/>
  <pageSetup paperSize="9" orientation="portrait"/>
  <drawing r:id="rId1"/>
</worksheet>
</file>